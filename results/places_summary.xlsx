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gyaol/Desktop/Project - Parking/"/>
    </mc:Choice>
  </mc:AlternateContent>
  <xr:revisionPtr revIDLastSave="0" documentId="13_ncr:1_{6936F500-2BEE-224B-8B59-B5CE0416B3A2}" xr6:coauthVersionLast="47" xr6:coauthVersionMax="47" xr10:uidLastSave="{00000000-0000-0000-0000-000000000000}"/>
  <bookViews>
    <workbookView xWindow="5060" yWindow="780" windowWidth="2518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1" l="1"/>
  <c r="C3" i="1" s="1"/>
  <c r="C50" i="1" l="1"/>
  <c r="C34" i="1"/>
  <c r="C18" i="1"/>
  <c r="C65" i="1"/>
  <c r="C17" i="1"/>
  <c r="C2" i="1"/>
  <c r="C81" i="1"/>
  <c r="C49" i="1"/>
  <c r="C33" i="1"/>
  <c r="C96" i="1"/>
  <c r="C80" i="1"/>
  <c r="C64" i="1"/>
  <c r="C48" i="1"/>
  <c r="C32" i="1"/>
  <c r="C16" i="1"/>
  <c r="C95" i="1"/>
  <c r="C63" i="1"/>
  <c r="C47" i="1"/>
  <c r="C31" i="1"/>
  <c r="C15" i="1"/>
  <c r="C14" i="1"/>
  <c r="C94" i="1"/>
  <c r="C77" i="1"/>
  <c r="C45" i="1"/>
  <c r="C29" i="1"/>
  <c r="C13" i="1"/>
  <c r="C12" i="1"/>
  <c r="C46" i="1"/>
  <c r="C92" i="1"/>
  <c r="C44" i="1"/>
  <c r="C28" i="1"/>
  <c r="C91" i="1"/>
  <c r="C75" i="1"/>
  <c r="C59" i="1"/>
  <c r="C43" i="1"/>
  <c r="C27" i="1"/>
  <c r="C11" i="1"/>
  <c r="C10" i="1"/>
  <c r="C30" i="1"/>
  <c r="C90" i="1"/>
  <c r="C26" i="1"/>
  <c r="C89" i="1"/>
  <c r="C73" i="1"/>
  <c r="C57" i="1"/>
  <c r="C41" i="1"/>
  <c r="C25" i="1"/>
  <c r="C9" i="1"/>
  <c r="C78" i="1"/>
  <c r="C61" i="1"/>
  <c r="C60" i="1"/>
  <c r="C42" i="1"/>
  <c r="C88" i="1"/>
  <c r="C72" i="1"/>
  <c r="C56" i="1"/>
  <c r="C40" i="1"/>
  <c r="C24" i="1"/>
  <c r="C8" i="1"/>
  <c r="C62" i="1"/>
  <c r="C93" i="1"/>
  <c r="C76" i="1"/>
  <c r="C74" i="1"/>
  <c r="C58" i="1"/>
  <c r="C87" i="1"/>
  <c r="C71" i="1"/>
  <c r="C55" i="1"/>
  <c r="C39" i="1"/>
  <c r="C23" i="1"/>
  <c r="C7" i="1"/>
  <c r="C66" i="1"/>
  <c r="C70" i="1"/>
  <c r="C54" i="1"/>
  <c r="C38" i="1"/>
  <c r="C22" i="1"/>
  <c r="C6" i="1"/>
  <c r="C79" i="1"/>
  <c r="C85" i="1"/>
  <c r="C69" i="1"/>
  <c r="C53" i="1"/>
  <c r="C37" i="1"/>
  <c r="C21" i="1"/>
  <c r="C5" i="1"/>
  <c r="C82" i="1"/>
  <c r="C84" i="1"/>
  <c r="C68" i="1"/>
  <c r="C52" i="1"/>
  <c r="C36" i="1"/>
  <c r="C20" i="1"/>
  <c r="C4" i="1"/>
  <c r="C86" i="1"/>
  <c r="C83" i="1"/>
  <c r="C67" i="1"/>
  <c r="C51" i="1"/>
  <c r="C35" i="1"/>
  <c r="C19" i="1"/>
  <c r="D3" i="1" l="1"/>
  <c r="D19" i="1"/>
  <c r="D35" i="1"/>
  <c r="D51" i="1"/>
  <c r="D67" i="1"/>
  <c r="D83" i="1"/>
  <c r="D4" i="1"/>
  <c r="D20" i="1"/>
  <c r="D36" i="1"/>
  <c r="D52" i="1"/>
  <c r="D68" i="1"/>
  <c r="D84" i="1"/>
  <c r="D95" i="1"/>
  <c r="D32" i="1"/>
  <c r="D96" i="1"/>
  <c r="D65" i="1"/>
  <c r="D2" i="1"/>
  <c r="D34" i="1"/>
  <c r="D5" i="1"/>
  <c r="D21" i="1"/>
  <c r="D37" i="1"/>
  <c r="D53" i="1"/>
  <c r="D69" i="1"/>
  <c r="D85" i="1"/>
  <c r="D63" i="1"/>
  <c r="D17" i="1"/>
  <c r="D81" i="1"/>
  <c r="D82" i="1"/>
  <c r="D6" i="1"/>
  <c r="D22" i="1"/>
  <c r="D38" i="1"/>
  <c r="D54" i="1"/>
  <c r="D70" i="1"/>
  <c r="D86" i="1"/>
  <c r="D24" i="1"/>
  <c r="D56" i="1"/>
  <c r="D88" i="1"/>
  <c r="D25" i="1"/>
  <c r="D57" i="1"/>
  <c r="D89" i="1"/>
  <c r="D26" i="1"/>
  <c r="D58" i="1"/>
  <c r="D74" i="1"/>
  <c r="D11" i="1"/>
  <c r="D59" i="1"/>
  <c r="D75" i="1"/>
  <c r="D12" i="1"/>
  <c r="D44" i="1"/>
  <c r="D60" i="1"/>
  <c r="D92" i="1"/>
  <c r="D29" i="1"/>
  <c r="D61" i="1"/>
  <c r="D93" i="1"/>
  <c r="D30" i="1"/>
  <c r="D62" i="1"/>
  <c r="D94" i="1"/>
  <c r="D15" i="1"/>
  <c r="D47" i="1"/>
  <c r="D16" i="1"/>
  <c r="D64" i="1"/>
  <c r="D49" i="1"/>
  <c r="D18" i="1"/>
  <c r="D7" i="1"/>
  <c r="D23" i="1"/>
  <c r="D39" i="1"/>
  <c r="D55" i="1"/>
  <c r="D71" i="1"/>
  <c r="D87" i="1"/>
  <c r="D8" i="1"/>
  <c r="D40" i="1"/>
  <c r="D72" i="1"/>
  <c r="D9" i="1"/>
  <c r="D41" i="1"/>
  <c r="D73" i="1"/>
  <c r="D10" i="1"/>
  <c r="D42" i="1"/>
  <c r="D90" i="1"/>
  <c r="D27" i="1"/>
  <c r="D43" i="1"/>
  <c r="D91" i="1"/>
  <c r="D28" i="1"/>
  <c r="D76" i="1"/>
  <c r="D13" i="1"/>
  <c r="D45" i="1"/>
  <c r="D77" i="1"/>
  <c r="D14" i="1"/>
  <c r="D46" i="1"/>
  <c r="D78" i="1"/>
  <c r="D31" i="1"/>
  <c r="D79" i="1"/>
  <c r="D48" i="1"/>
  <c r="D80" i="1"/>
  <c r="D33" i="1"/>
  <c r="D50" i="1"/>
  <c r="D66" i="1"/>
</calcChain>
</file>

<file path=xl/sharedStrings.xml><?xml version="1.0" encoding="utf-8"?>
<sst xmlns="http://schemas.openxmlformats.org/spreadsheetml/2006/main" count="297" uniqueCount="134">
  <si>
    <t>naics_code</t>
  </si>
  <si>
    <t>count</t>
  </si>
  <si>
    <t>2-digit NAICS Title</t>
  </si>
  <si>
    <t>3-digit NAICS Code</t>
  </si>
  <si>
    <t>3-digit NAICS Title</t>
  </si>
  <si>
    <t>Accommodation and Food Services</t>
  </si>
  <si>
    <t>Arts, Entertainment, and Recreation</t>
  </si>
  <si>
    <t>Retail Trade</t>
  </si>
  <si>
    <t>Other Services (except Public Administration)</t>
  </si>
  <si>
    <t>Real Estate and Rental and Leasing</t>
  </si>
  <si>
    <t>Health Care and Social Assistance</t>
  </si>
  <si>
    <t>Professional, Scientific, and Technical Services</t>
  </si>
  <si>
    <t>Administrative and Support and Waste Management and Remediation Services</t>
  </si>
  <si>
    <t>Transportation and Warehousing</t>
  </si>
  <si>
    <t>Educational Services</t>
  </si>
  <si>
    <t>Manufacturing</t>
  </si>
  <si>
    <t>Finance and Insurance</t>
  </si>
  <si>
    <t>Information</t>
  </si>
  <si>
    <t>Wholesale Trade</t>
  </si>
  <si>
    <t>Management of Companies and Enterprises</t>
  </si>
  <si>
    <t>Agriculture, Forestry, Fishing and Hunting</t>
  </si>
  <si>
    <t>Construction</t>
  </si>
  <si>
    <t>Public Administration</t>
  </si>
  <si>
    <t>Utilities</t>
  </si>
  <si>
    <t>Mining, Quarrying, and Oil and Gas Extraction</t>
  </si>
  <si>
    <t>Food Services and Drinking Places</t>
  </si>
  <si>
    <t>Amusement, Gambling, and Recreation Industries</t>
  </si>
  <si>
    <t xml:space="preserve">Food and Beverage Stores </t>
  </si>
  <si>
    <t>Personal and Laundry Services</t>
  </si>
  <si>
    <t xml:space="preserve">General Merchandise Stores </t>
  </si>
  <si>
    <t>Accommodation</t>
  </si>
  <si>
    <t>Real Estate</t>
  </si>
  <si>
    <t>Repair and Maintenance</t>
  </si>
  <si>
    <t>Ambulatory Health Care Services</t>
  </si>
  <si>
    <t xml:space="preserve">Motor Vehicle and Parts Dealers </t>
  </si>
  <si>
    <t>Museums, Historical Sites, and Similar Institutions</t>
  </si>
  <si>
    <t xml:space="preserve">Miscellaneous Store Retailers </t>
  </si>
  <si>
    <t>Religious, Grantmaking, Civic, Professional, and Similar Organizations</t>
  </si>
  <si>
    <t xml:space="preserve">Gasoline Stations </t>
  </si>
  <si>
    <t xml:space="preserve">Sporting Goods, Hobby, Musical Instrument, and Book Stores </t>
  </si>
  <si>
    <t>Performing Arts, Spectator Sports, and Related Industries</t>
  </si>
  <si>
    <t xml:space="preserve">Building Material and Garden Equipment and Supplies Dealers </t>
  </si>
  <si>
    <t xml:space="preserve">Clothing and Clothing Accessories Stores </t>
  </si>
  <si>
    <t>Administrative and Support Services</t>
  </si>
  <si>
    <t>Rental and Leasing Services</t>
  </si>
  <si>
    <t xml:space="preserve">Health and Personal Care Stores </t>
  </si>
  <si>
    <t xml:space="preserve">Electronics and Appliance Stores </t>
  </si>
  <si>
    <t>Truck Transportation</t>
  </si>
  <si>
    <t>Support Activities for Transportation</t>
  </si>
  <si>
    <t>Beverage and Tobacco Product Manufacturing</t>
  </si>
  <si>
    <t>Credit Intermediation and Related Activities</t>
  </si>
  <si>
    <t>Motion Picture and Sound Recording Industries</t>
  </si>
  <si>
    <t>Couriers and Messengers</t>
  </si>
  <si>
    <t xml:space="preserve">Furniture and Home Furnishings Stores </t>
  </si>
  <si>
    <t>Warehousing and Storage</t>
  </si>
  <si>
    <t>Food Manufacturing</t>
  </si>
  <si>
    <t xml:space="preserve">Merchant Wholesalers, Nondurable Goods </t>
  </si>
  <si>
    <t>Postal Service</t>
  </si>
  <si>
    <t>Crop Production</t>
  </si>
  <si>
    <t>Hospitals</t>
  </si>
  <si>
    <t>Transit and Ground Passenger Transportation</t>
  </si>
  <si>
    <t>Machinery Manufacturing</t>
  </si>
  <si>
    <t xml:space="preserve">Merchant Wholesalers, Durable Goods </t>
  </si>
  <si>
    <t>Other Information Services</t>
  </si>
  <si>
    <t xml:space="preserve">Nonstore Retailers </t>
  </si>
  <si>
    <t>Specialty Trade Contractors</t>
  </si>
  <si>
    <t xml:space="preserve">Executive, Legislative, and Other General Government Support </t>
  </si>
  <si>
    <t>Social Assistance</t>
  </si>
  <si>
    <t>Heavy and Civil Engineering Construction</t>
  </si>
  <si>
    <t>Pipeline Transportation</t>
  </si>
  <si>
    <t>Insurance Carriers and Related Activities</t>
  </si>
  <si>
    <t>Construction of Buildings</t>
  </si>
  <si>
    <t xml:space="preserve">Administration of Economic Programs </t>
  </si>
  <si>
    <t>Nursing and Residential Care Facilities</t>
  </si>
  <si>
    <t>Waste Management and Remediation Services</t>
  </si>
  <si>
    <t xml:space="preserve">Justice, Public Order, and Safety Activities </t>
  </si>
  <si>
    <t>Telecommunications</t>
  </si>
  <si>
    <t>Rail Transportation</t>
  </si>
  <si>
    <t>Scenic and Sightseeing Transportation</t>
  </si>
  <si>
    <t>Printing and Related Support Activities</t>
  </si>
  <si>
    <t>Animal Production and Aquaculture</t>
  </si>
  <si>
    <t>Publishing Industries (except Internet)</t>
  </si>
  <si>
    <t>Forestry and Logging</t>
  </si>
  <si>
    <t xml:space="preserve">Administration of Human Resource Programs </t>
  </si>
  <si>
    <t>Miscellaneous Manufacturing</t>
  </si>
  <si>
    <t xml:space="preserve">Utilities </t>
  </si>
  <si>
    <t>Paper Manufacturing</t>
  </si>
  <si>
    <t>Nonmetallic Mineral Product Manufacturing</t>
  </si>
  <si>
    <t xml:space="preserve">National Security and International Affairs </t>
  </si>
  <si>
    <t>Water Transportation</t>
  </si>
  <si>
    <t>Fabricated Metal Product Manufacturing</t>
  </si>
  <si>
    <t>Plastics and Rubber Products Manufacturing</t>
  </si>
  <si>
    <t>Support Activities for Agriculture and Forestry</t>
  </si>
  <si>
    <t>Transportation Equipment Manufacturing</t>
  </si>
  <si>
    <t>Apparel Manufacturing</t>
  </si>
  <si>
    <t>Chemical Manufacturing</t>
  </si>
  <si>
    <t>Broadcasting (except Internet)</t>
  </si>
  <si>
    <t>Fishing, Hunting and Trapping</t>
  </si>
  <si>
    <t>Air Transportation</t>
  </si>
  <si>
    <t>Wood Product Manufacturing</t>
  </si>
  <si>
    <t>Furniture and Related Product Manufacturing</t>
  </si>
  <si>
    <t>Securities, Commodity Contracts, and Other Financial Investments and Related Activities</t>
  </si>
  <si>
    <t>Mining (except Oil and Gas)</t>
  </si>
  <si>
    <t>Primary Metal Manufacturing</t>
  </si>
  <si>
    <t>Computer and Electronic Product Manufacturing</t>
  </si>
  <si>
    <t xml:space="preserve">Administration of Environmental Quality Programs </t>
  </si>
  <si>
    <t>Textile Product Mills</t>
  </si>
  <si>
    <t>Oil and Gas Extraction</t>
  </si>
  <si>
    <t>Petroleum and Coal Products Manufacturing</t>
  </si>
  <si>
    <t>Electrical Equipment, Appliance, and Component Manufacturing</t>
  </si>
  <si>
    <t>Data Processing, Hosting, and Related Services</t>
  </si>
  <si>
    <t xml:space="preserve">Administration of Housing Programs, Urban Planning, and Community Development </t>
  </si>
  <si>
    <t>Textile Mills</t>
  </si>
  <si>
    <t xml:space="preserve">Wholesale Electronic Markets and Agents and Brokers </t>
  </si>
  <si>
    <t>Monetary Authorities-Central Bank</t>
  </si>
  <si>
    <t>Leather and Allied Product Manufacturing</t>
  </si>
  <si>
    <t>Support Activities for Mining</t>
  </si>
  <si>
    <t>2-digit NAICS Code</t>
  </si>
  <si>
    <t>max_num_parking_reviews</t>
  </si>
  <si>
    <t>min_num_parking_reviews</t>
  </si>
  <si>
    <t>avg_num_parking_reviews</t>
  </si>
  <si>
    <t>Pct</t>
  </si>
  <si>
    <t>Sum_Pct</t>
  </si>
  <si>
    <t>Categories</t>
  </si>
  <si>
    <t>Recreation</t>
  </si>
  <si>
    <t>Restaurant</t>
  </si>
  <si>
    <t>Health Care</t>
  </si>
  <si>
    <t>NA</t>
  </si>
  <si>
    <t>Hotel</t>
  </si>
  <si>
    <t>Apartment</t>
  </si>
  <si>
    <t>Transportation</t>
  </si>
  <si>
    <t>Personal Service</t>
  </si>
  <si>
    <t>Education</t>
  </si>
  <si>
    <t>Public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</si>
</sst>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L96" sqref="L96"/>
    </sheetView>
  </sheetViews>
  <sheetFormatPr baseColWidth="10" defaultColWidth="8.83203125" defaultRowHeight="15" x14ac:dyDescent="0.2"/>
  <cols>
    <col min="9" max="9" width="43.5" customWidth="1"/>
    <col min="11" max="11" width="81.5" bestFit="1" customWidth="1"/>
    <col min="12" max="12" width="15.6640625" bestFit="1" customWidth="1"/>
  </cols>
  <sheetData>
    <row r="1" spans="1:12" x14ac:dyDescent="0.2">
      <c r="A1" s="1" t="s">
        <v>0</v>
      </c>
      <c r="B1" s="1" t="s">
        <v>1</v>
      </c>
      <c r="C1" s="1" t="s">
        <v>121</v>
      </c>
      <c r="D1" s="1" t="s">
        <v>122</v>
      </c>
      <c r="E1" s="1" t="s">
        <v>118</v>
      </c>
      <c r="F1" s="1" t="s">
        <v>119</v>
      </c>
      <c r="G1" s="1" t="s">
        <v>120</v>
      </c>
      <c r="H1" s="1" t="s">
        <v>117</v>
      </c>
      <c r="I1" s="1" t="s">
        <v>2</v>
      </c>
      <c r="J1" s="1" t="s">
        <v>3</v>
      </c>
      <c r="K1" s="1" t="s">
        <v>4</v>
      </c>
      <c r="L1" s="2" t="s">
        <v>123</v>
      </c>
    </row>
    <row r="2" spans="1:12" x14ac:dyDescent="0.2">
      <c r="A2">
        <v>722</v>
      </c>
      <c r="B2">
        <v>368540</v>
      </c>
      <c r="C2">
        <f>B2/$B$97</f>
        <v>0.32870051186092081</v>
      </c>
      <c r="D2">
        <f>SUM($C$2:C2)</f>
        <v>0.32870051186092081</v>
      </c>
      <c r="E2">
        <v>638</v>
      </c>
      <c r="F2">
        <v>1</v>
      </c>
      <c r="G2">
        <v>3.191452759537635</v>
      </c>
      <c r="H2">
        <v>72</v>
      </c>
      <c r="I2" t="s">
        <v>5</v>
      </c>
      <c r="J2">
        <v>722</v>
      </c>
      <c r="K2" t="s">
        <v>25</v>
      </c>
      <c r="L2" t="s">
        <v>125</v>
      </c>
    </row>
    <row r="3" spans="1:12" x14ac:dyDescent="0.2">
      <c r="A3">
        <v>713</v>
      </c>
      <c r="B3">
        <v>96627</v>
      </c>
      <c r="C3">
        <f t="shared" ref="C3:C66" si="0">B3/$B$97</f>
        <v>8.6181538936303245E-2</v>
      </c>
      <c r="D3">
        <f>SUM($C$2:C3)</f>
        <v>0.41488205079722407</v>
      </c>
      <c r="E3">
        <v>1064</v>
      </c>
      <c r="F3">
        <v>1</v>
      </c>
      <c r="G3">
        <v>5.0723400291843896</v>
      </c>
      <c r="H3">
        <v>71</v>
      </c>
      <c r="I3" t="s">
        <v>6</v>
      </c>
      <c r="J3">
        <v>713</v>
      </c>
      <c r="K3" t="s">
        <v>26</v>
      </c>
      <c r="L3" t="s">
        <v>124</v>
      </c>
    </row>
    <row r="4" spans="1:12" x14ac:dyDescent="0.2">
      <c r="A4">
        <v>445</v>
      </c>
      <c r="B4">
        <v>62947</v>
      </c>
      <c r="C4">
        <f t="shared" si="0"/>
        <v>5.6142375644731596E-2</v>
      </c>
      <c r="D4">
        <f>SUM($C$2:C4)</f>
        <v>0.47102442644195563</v>
      </c>
      <c r="E4">
        <v>581</v>
      </c>
      <c r="F4">
        <v>1</v>
      </c>
      <c r="G4">
        <v>4.5092220439417288</v>
      </c>
      <c r="H4">
        <v>44</v>
      </c>
      <c r="I4" t="s">
        <v>7</v>
      </c>
      <c r="J4">
        <v>445</v>
      </c>
      <c r="K4" t="s">
        <v>27</v>
      </c>
      <c r="L4" t="s">
        <v>7</v>
      </c>
    </row>
    <row r="5" spans="1:12" x14ac:dyDescent="0.2">
      <c r="A5">
        <v>812</v>
      </c>
      <c r="B5">
        <v>57643</v>
      </c>
      <c r="C5">
        <f t="shared" si="0"/>
        <v>5.1411742565797627E-2</v>
      </c>
      <c r="D5">
        <f>SUM($C$2:C5)</f>
        <v>0.52243616900775325</v>
      </c>
      <c r="E5">
        <v>502</v>
      </c>
      <c r="F5">
        <v>1</v>
      </c>
      <c r="G5">
        <v>2.4911264160435791</v>
      </c>
      <c r="H5">
        <v>81</v>
      </c>
      <c r="I5" t="s">
        <v>8</v>
      </c>
      <c r="J5">
        <v>812</v>
      </c>
      <c r="K5" t="s">
        <v>28</v>
      </c>
      <c r="L5" t="s">
        <v>131</v>
      </c>
    </row>
    <row r="6" spans="1:12" x14ac:dyDescent="0.2">
      <c r="A6">
        <v>452</v>
      </c>
      <c r="B6">
        <v>56693</v>
      </c>
      <c r="C6">
        <f t="shared" si="0"/>
        <v>5.0564438375566241E-2</v>
      </c>
      <c r="D6">
        <f>SUM($C$2:C6)</f>
        <v>0.57300060738331948</v>
      </c>
      <c r="E6">
        <v>1494</v>
      </c>
      <c r="F6">
        <v>1</v>
      </c>
      <c r="G6">
        <v>12.391300513290879</v>
      </c>
      <c r="H6">
        <v>45</v>
      </c>
      <c r="I6" t="s">
        <v>7</v>
      </c>
      <c r="J6">
        <v>452</v>
      </c>
      <c r="K6" t="s">
        <v>29</v>
      </c>
      <c r="L6" t="s">
        <v>7</v>
      </c>
    </row>
    <row r="7" spans="1:12" x14ac:dyDescent="0.2">
      <c r="A7">
        <v>721</v>
      </c>
      <c r="B7">
        <v>50613</v>
      </c>
      <c r="C7">
        <f t="shared" si="0"/>
        <v>4.5141691558085381E-2</v>
      </c>
      <c r="D7">
        <f>SUM($C$2:C7)</f>
        <v>0.61814229894140482</v>
      </c>
      <c r="E7">
        <v>898</v>
      </c>
      <c r="F7">
        <v>1</v>
      </c>
      <c r="G7">
        <v>14.021911366644931</v>
      </c>
      <c r="H7">
        <v>72</v>
      </c>
      <c r="I7" t="s">
        <v>5</v>
      </c>
      <c r="J7">
        <v>721</v>
      </c>
      <c r="K7" t="s">
        <v>30</v>
      </c>
      <c r="L7" t="s">
        <v>128</v>
      </c>
    </row>
    <row r="8" spans="1:12" x14ac:dyDescent="0.2">
      <c r="A8">
        <v>531</v>
      </c>
      <c r="B8">
        <v>45888</v>
      </c>
      <c r="C8">
        <f t="shared" si="0"/>
        <v>4.092746808561875E-2</v>
      </c>
      <c r="D8">
        <f>SUM($C$2:C8)</f>
        <v>0.65906976702702358</v>
      </c>
      <c r="E8">
        <v>407</v>
      </c>
      <c r="F8">
        <v>1</v>
      </c>
      <c r="G8">
        <v>3.7756929916317992</v>
      </c>
      <c r="H8">
        <v>53</v>
      </c>
      <c r="I8" t="s">
        <v>9</v>
      </c>
      <c r="J8">
        <v>531</v>
      </c>
      <c r="K8" t="s">
        <v>31</v>
      </c>
      <c r="L8" t="s">
        <v>129</v>
      </c>
    </row>
    <row r="9" spans="1:12" x14ac:dyDescent="0.2">
      <c r="A9">
        <v>811</v>
      </c>
      <c r="B9">
        <v>36998</v>
      </c>
      <c r="C9">
        <f t="shared" si="0"/>
        <v>3.2998484663348204E-2</v>
      </c>
      <c r="D9">
        <f>SUM($C$2:C9)</f>
        <v>0.69206825169037178</v>
      </c>
      <c r="E9">
        <v>111</v>
      </c>
      <c r="F9">
        <v>1</v>
      </c>
      <c r="G9">
        <v>1.4967025244607819</v>
      </c>
      <c r="H9">
        <v>81</v>
      </c>
      <c r="I9" t="s">
        <v>8</v>
      </c>
      <c r="J9">
        <v>811</v>
      </c>
      <c r="K9" t="s">
        <v>32</v>
      </c>
      <c r="L9" t="s">
        <v>131</v>
      </c>
    </row>
    <row r="10" spans="1:12" x14ac:dyDescent="0.2">
      <c r="A10">
        <v>621</v>
      </c>
      <c r="B10">
        <v>29550</v>
      </c>
      <c r="C10">
        <f t="shared" si="0"/>
        <v>2.6355619811934145E-2</v>
      </c>
      <c r="D10">
        <f>SUM($C$2:C10)</f>
        <v>0.71842387150230591</v>
      </c>
      <c r="E10">
        <v>127</v>
      </c>
      <c r="F10">
        <v>1</v>
      </c>
      <c r="G10">
        <v>1.6941455160744501</v>
      </c>
      <c r="H10">
        <v>62</v>
      </c>
      <c r="I10" t="s">
        <v>10</v>
      </c>
      <c r="J10">
        <v>621</v>
      </c>
      <c r="K10" t="s">
        <v>33</v>
      </c>
      <c r="L10" t="s">
        <v>126</v>
      </c>
    </row>
    <row r="11" spans="1:12" x14ac:dyDescent="0.2">
      <c r="A11">
        <v>441</v>
      </c>
      <c r="B11">
        <v>26984</v>
      </c>
      <c r="C11">
        <f t="shared" si="0"/>
        <v>2.4067006599161792E-2</v>
      </c>
      <c r="D11">
        <f>SUM($C$2:C11)</f>
        <v>0.74249087810146774</v>
      </c>
      <c r="E11">
        <v>46</v>
      </c>
      <c r="F11">
        <v>1</v>
      </c>
      <c r="G11">
        <v>2.0038541357841679</v>
      </c>
      <c r="H11">
        <v>44</v>
      </c>
      <c r="I11" t="s">
        <v>7</v>
      </c>
      <c r="J11">
        <v>441</v>
      </c>
      <c r="K11" t="s">
        <v>34</v>
      </c>
      <c r="L11" t="s">
        <v>7</v>
      </c>
    </row>
    <row r="12" spans="1:12" x14ac:dyDescent="0.2">
      <c r="A12">
        <v>712</v>
      </c>
      <c r="B12">
        <v>25727</v>
      </c>
      <c r="C12">
        <f t="shared" si="0"/>
        <v>2.294588937061353E-2</v>
      </c>
      <c r="D12">
        <f>SUM($C$2:C12)</f>
        <v>0.76543676747208123</v>
      </c>
      <c r="E12">
        <v>1286</v>
      </c>
      <c r="F12">
        <v>1</v>
      </c>
      <c r="G12">
        <v>8.2629144478563372</v>
      </c>
      <c r="H12">
        <v>71</v>
      </c>
      <c r="I12" t="s">
        <v>6</v>
      </c>
      <c r="J12">
        <v>712</v>
      </c>
      <c r="K12" t="s">
        <v>35</v>
      </c>
      <c r="L12" t="s">
        <v>124</v>
      </c>
    </row>
    <row r="13" spans="1:12" x14ac:dyDescent="0.2">
      <c r="A13">
        <v>453</v>
      </c>
      <c r="B13">
        <v>23116</v>
      </c>
      <c r="C13">
        <f t="shared" si="0"/>
        <v>2.0617140696198636E-2</v>
      </c>
      <c r="D13">
        <f>SUM($C$2:C13)</f>
        <v>0.78605390816827991</v>
      </c>
      <c r="E13">
        <v>277</v>
      </c>
      <c r="F13">
        <v>1</v>
      </c>
      <c r="G13">
        <v>2.3962190690430871</v>
      </c>
      <c r="H13">
        <v>45</v>
      </c>
      <c r="I13" t="s">
        <v>7</v>
      </c>
      <c r="J13">
        <v>453</v>
      </c>
      <c r="K13" t="s">
        <v>36</v>
      </c>
      <c r="L13" t="s">
        <v>7</v>
      </c>
    </row>
    <row r="14" spans="1:12" x14ac:dyDescent="0.2">
      <c r="A14">
        <v>813</v>
      </c>
      <c r="B14">
        <v>19074</v>
      </c>
      <c r="C14">
        <f t="shared" si="0"/>
        <v>1.7012084341550996E-2</v>
      </c>
      <c r="D14">
        <f>SUM($C$2:C14)</f>
        <v>0.80306599250983091</v>
      </c>
      <c r="E14">
        <v>357</v>
      </c>
      <c r="F14">
        <v>1</v>
      </c>
      <c r="G14">
        <v>1.6608472265911709</v>
      </c>
      <c r="H14">
        <v>81</v>
      </c>
      <c r="I14" t="s">
        <v>8</v>
      </c>
      <c r="J14">
        <v>813</v>
      </c>
      <c r="K14" t="s">
        <v>37</v>
      </c>
      <c r="L14" t="s">
        <v>133</v>
      </c>
    </row>
    <row r="15" spans="1:12" x14ac:dyDescent="0.2">
      <c r="A15">
        <v>447</v>
      </c>
      <c r="B15">
        <v>16982</v>
      </c>
      <c r="C15">
        <f t="shared" si="0"/>
        <v>1.5146231324746722E-2</v>
      </c>
      <c r="D15">
        <f>SUM($C$2:C15)</f>
        <v>0.81821222383457759</v>
      </c>
      <c r="E15">
        <v>192</v>
      </c>
      <c r="F15">
        <v>1</v>
      </c>
      <c r="G15">
        <v>1.803792250618302</v>
      </c>
      <c r="H15">
        <v>44</v>
      </c>
      <c r="I15" t="s">
        <v>7</v>
      </c>
      <c r="J15">
        <v>447</v>
      </c>
      <c r="K15" t="s">
        <v>38</v>
      </c>
      <c r="L15" t="s">
        <v>7</v>
      </c>
    </row>
    <row r="16" spans="1:12" x14ac:dyDescent="0.2">
      <c r="A16">
        <v>451</v>
      </c>
      <c r="B16">
        <v>14709</v>
      </c>
      <c r="C16">
        <f t="shared" si="0"/>
        <v>1.3118944562224682E-2</v>
      </c>
      <c r="D16">
        <f>SUM($C$2:C16)</f>
        <v>0.83133116839680232</v>
      </c>
      <c r="E16">
        <v>191</v>
      </c>
      <c r="F16">
        <v>1</v>
      </c>
      <c r="G16">
        <v>2.338024338840166</v>
      </c>
      <c r="H16">
        <v>45</v>
      </c>
      <c r="I16" t="s">
        <v>7</v>
      </c>
      <c r="J16">
        <v>451</v>
      </c>
      <c r="K16" t="s">
        <v>39</v>
      </c>
      <c r="L16" t="s">
        <v>7</v>
      </c>
    </row>
    <row r="17" spans="1:12" x14ac:dyDescent="0.2">
      <c r="A17">
        <v>711</v>
      </c>
      <c r="B17">
        <v>13868</v>
      </c>
      <c r="C17">
        <f t="shared" si="0"/>
        <v>1.2368857379083003E-2</v>
      </c>
      <c r="D17">
        <f>SUM($C$2:C17)</f>
        <v>0.84370002577588532</v>
      </c>
      <c r="E17">
        <v>867</v>
      </c>
      <c r="F17">
        <v>1</v>
      </c>
      <c r="G17">
        <v>8.9963224689933661</v>
      </c>
      <c r="H17">
        <v>71</v>
      </c>
      <c r="I17" t="s">
        <v>6</v>
      </c>
      <c r="J17">
        <v>711</v>
      </c>
      <c r="K17" t="s">
        <v>40</v>
      </c>
      <c r="L17" t="s">
        <v>124</v>
      </c>
    </row>
    <row r="18" spans="1:12" x14ac:dyDescent="0.2">
      <c r="A18">
        <v>444</v>
      </c>
      <c r="B18">
        <v>13617</v>
      </c>
      <c r="C18">
        <f t="shared" si="0"/>
        <v>1.2144990693032395E-2</v>
      </c>
      <c r="D18">
        <f>SUM($C$2:C18)</f>
        <v>0.85584501646891775</v>
      </c>
      <c r="E18">
        <v>194</v>
      </c>
      <c r="F18">
        <v>1</v>
      </c>
      <c r="G18">
        <v>3.0428875670118241</v>
      </c>
      <c r="H18">
        <v>44</v>
      </c>
      <c r="I18" t="s">
        <v>7</v>
      </c>
      <c r="J18">
        <v>444</v>
      </c>
      <c r="K18" t="s">
        <v>41</v>
      </c>
      <c r="L18" t="s">
        <v>7</v>
      </c>
    </row>
    <row r="19" spans="1:12" x14ac:dyDescent="0.2">
      <c r="A19">
        <v>541</v>
      </c>
      <c r="B19">
        <v>12009</v>
      </c>
      <c r="C19">
        <f t="shared" si="0"/>
        <v>1.0710816863672323E-2</v>
      </c>
      <c r="D19">
        <f>SUM($C$2:C19)</f>
        <v>0.86655583333259012</v>
      </c>
      <c r="E19">
        <v>93</v>
      </c>
      <c r="F19">
        <v>1</v>
      </c>
      <c r="G19">
        <v>1.790157381963527</v>
      </c>
      <c r="H19">
        <v>54</v>
      </c>
      <c r="I19" t="s">
        <v>11</v>
      </c>
      <c r="J19">
        <v>541</v>
      </c>
      <c r="K19" t="s">
        <v>11</v>
      </c>
      <c r="L19" t="s">
        <v>131</v>
      </c>
    </row>
    <row r="20" spans="1:12" x14ac:dyDescent="0.2">
      <c r="A20">
        <v>448</v>
      </c>
      <c r="B20">
        <v>11762</v>
      </c>
      <c r="C20">
        <f t="shared" si="0"/>
        <v>1.0490517774212163E-2</v>
      </c>
      <c r="D20">
        <f>SUM($C$2:C20)</f>
        <v>0.87704635110680229</v>
      </c>
      <c r="E20">
        <v>121</v>
      </c>
      <c r="F20">
        <v>1</v>
      </c>
      <c r="G20">
        <v>1.6765856146913789</v>
      </c>
      <c r="H20">
        <v>44</v>
      </c>
      <c r="I20" t="s">
        <v>7</v>
      </c>
      <c r="J20">
        <v>448</v>
      </c>
      <c r="K20" t="s">
        <v>42</v>
      </c>
      <c r="L20" t="s">
        <v>7</v>
      </c>
    </row>
    <row r="21" spans="1:12" x14ac:dyDescent="0.2">
      <c r="A21">
        <v>561</v>
      </c>
      <c r="B21">
        <v>9769</v>
      </c>
      <c r="C21">
        <f t="shared" si="0"/>
        <v>8.7129627730214779E-3</v>
      </c>
      <c r="D21">
        <f>SUM($C$2:C21)</f>
        <v>0.88575931387982376</v>
      </c>
      <c r="E21">
        <v>177</v>
      </c>
      <c r="F21">
        <v>1</v>
      </c>
      <c r="G21">
        <v>2.6800081891698229</v>
      </c>
      <c r="H21">
        <v>56</v>
      </c>
      <c r="I21" t="s">
        <v>12</v>
      </c>
      <c r="J21">
        <v>561</v>
      </c>
      <c r="K21" t="s">
        <v>43</v>
      </c>
      <c r="L21" t="s">
        <v>133</v>
      </c>
    </row>
    <row r="22" spans="1:12" x14ac:dyDescent="0.2">
      <c r="A22">
        <v>532</v>
      </c>
      <c r="B22">
        <v>8629</v>
      </c>
      <c r="C22">
        <f t="shared" si="0"/>
        <v>7.6961977447438153E-3</v>
      </c>
      <c r="D22">
        <f>SUM($C$2:C22)</f>
        <v>0.8934555116245676</v>
      </c>
      <c r="E22">
        <v>99</v>
      </c>
      <c r="F22">
        <v>1</v>
      </c>
      <c r="G22">
        <v>2.786070228299919</v>
      </c>
      <c r="H22">
        <v>53</v>
      </c>
      <c r="I22" t="s">
        <v>9</v>
      </c>
      <c r="J22">
        <v>532</v>
      </c>
      <c r="K22" t="s">
        <v>44</v>
      </c>
      <c r="L22" t="s">
        <v>129</v>
      </c>
    </row>
    <row r="23" spans="1:12" x14ac:dyDescent="0.2">
      <c r="A23">
        <v>446</v>
      </c>
      <c r="B23">
        <v>8488</v>
      </c>
      <c r="C23">
        <f t="shared" si="0"/>
        <v>7.5704399649305252E-3</v>
      </c>
      <c r="D23">
        <f>SUM($C$2:C23)</f>
        <v>0.90102595158949816</v>
      </c>
      <c r="E23">
        <v>40</v>
      </c>
      <c r="F23">
        <v>1</v>
      </c>
      <c r="G23">
        <v>1.4624175306314799</v>
      </c>
      <c r="H23">
        <v>44</v>
      </c>
      <c r="I23" t="s">
        <v>7</v>
      </c>
      <c r="J23">
        <v>446</v>
      </c>
      <c r="K23" t="s">
        <v>45</v>
      </c>
      <c r="L23" t="s">
        <v>126</v>
      </c>
    </row>
    <row r="24" spans="1:12" x14ac:dyDescent="0.2">
      <c r="A24">
        <v>443</v>
      </c>
      <c r="B24">
        <v>8399</v>
      </c>
      <c r="C24">
        <f t="shared" si="0"/>
        <v>7.4910609407930588E-3</v>
      </c>
      <c r="D24">
        <f>SUM($C$2:C24)</f>
        <v>0.90851701253029127</v>
      </c>
      <c r="E24">
        <v>458</v>
      </c>
      <c r="F24">
        <v>1</v>
      </c>
      <c r="G24">
        <v>2.4785093463507559</v>
      </c>
      <c r="H24">
        <v>44</v>
      </c>
      <c r="I24" t="s">
        <v>7</v>
      </c>
      <c r="J24">
        <v>443</v>
      </c>
      <c r="K24" t="s">
        <v>46</v>
      </c>
      <c r="L24" t="s">
        <v>7</v>
      </c>
    </row>
    <row r="25" spans="1:12" x14ac:dyDescent="0.2">
      <c r="A25">
        <v>484</v>
      </c>
      <c r="B25">
        <v>6576</v>
      </c>
      <c r="C25">
        <f t="shared" si="0"/>
        <v>5.8651287946964109E-3</v>
      </c>
      <c r="D25">
        <f>SUM($C$2:C25)</f>
        <v>0.91438214132498763</v>
      </c>
      <c r="E25">
        <v>419</v>
      </c>
      <c r="F25">
        <v>1</v>
      </c>
      <c r="G25">
        <v>15.23570559610706</v>
      </c>
      <c r="H25">
        <v>48</v>
      </c>
      <c r="I25" t="s">
        <v>13</v>
      </c>
      <c r="J25">
        <v>484</v>
      </c>
      <c r="K25" t="s">
        <v>47</v>
      </c>
      <c r="L25" t="s">
        <v>130</v>
      </c>
    </row>
    <row r="26" spans="1:12" x14ac:dyDescent="0.2">
      <c r="A26">
        <v>488</v>
      </c>
      <c r="B26">
        <v>6295</v>
      </c>
      <c r="C26">
        <f t="shared" si="0"/>
        <v>5.6145051342174433E-3</v>
      </c>
      <c r="D26">
        <f>SUM($C$2:C26)</f>
        <v>0.91999664645920509</v>
      </c>
      <c r="E26">
        <v>244</v>
      </c>
      <c r="F26">
        <v>1</v>
      </c>
      <c r="G26">
        <v>5.6052422557585384</v>
      </c>
      <c r="H26">
        <v>48</v>
      </c>
      <c r="I26" t="s">
        <v>13</v>
      </c>
      <c r="J26">
        <v>488</v>
      </c>
      <c r="K26" t="s">
        <v>48</v>
      </c>
      <c r="L26" t="s">
        <v>130</v>
      </c>
    </row>
    <row r="27" spans="1:12" x14ac:dyDescent="0.2">
      <c r="A27">
        <v>611</v>
      </c>
      <c r="B27">
        <v>5493</v>
      </c>
      <c r="C27">
        <f t="shared" si="0"/>
        <v>4.8992020178326313E-3</v>
      </c>
      <c r="D27">
        <f>SUM($C$2:C27)</f>
        <v>0.92489584847703776</v>
      </c>
      <c r="E27">
        <v>470</v>
      </c>
      <c r="F27">
        <v>1</v>
      </c>
      <c r="G27">
        <v>2.5792827234662301</v>
      </c>
      <c r="H27">
        <v>61</v>
      </c>
      <c r="I27" t="s">
        <v>14</v>
      </c>
      <c r="J27">
        <v>611</v>
      </c>
      <c r="K27" t="s">
        <v>14</v>
      </c>
      <c r="L27" t="s">
        <v>132</v>
      </c>
    </row>
    <row r="28" spans="1:12" x14ac:dyDescent="0.2">
      <c r="A28">
        <v>312</v>
      </c>
      <c r="B28">
        <v>5355</v>
      </c>
      <c r="C28">
        <f t="shared" si="0"/>
        <v>4.7761199354621779E-3</v>
      </c>
      <c r="D28">
        <f>SUM($C$2:C28)</f>
        <v>0.92967196841249999</v>
      </c>
      <c r="E28">
        <v>69</v>
      </c>
      <c r="F28">
        <v>1</v>
      </c>
      <c r="G28">
        <v>2.7577964519140989</v>
      </c>
      <c r="H28">
        <v>31</v>
      </c>
      <c r="I28" t="s">
        <v>15</v>
      </c>
      <c r="J28">
        <v>312</v>
      </c>
      <c r="K28" t="s">
        <v>49</v>
      </c>
      <c r="L28" t="s">
        <v>127</v>
      </c>
    </row>
    <row r="29" spans="1:12" x14ac:dyDescent="0.2">
      <c r="A29">
        <v>522</v>
      </c>
      <c r="B29">
        <v>4792</v>
      </c>
      <c r="C29">
        <f t="shared" si="0"/>
        <v>4.27398071535663E-3</v>
      </c>
      <c r="D29">
        <f>SUM($C$2:C29)</f>
        <v>0.93394594912785667</v>
      </c>
      <c r="E29">
        <v>41</v>
      </c>
      <c r="F29">
        <v>1</v>
      </c>
      <c r="G29">
        <v>1.3374373956594321</v>
      </c>
      <c r="H29">
        <v>52</v>
      </c>
      <c r="I29" t="s">
        <v>16</v>
      </c>
      <c r="J29">
        <v>522</v>
      </c>
      <c r="K29" t="s">
        <v>50</v>
      </c>
      <c r="L29" t="s">
        <v>131</v>
      </c>
    </row>
    <row r="30" spans="1:12" x14ac:dyDescent="0.2">
      <c r="A30">
        <v>512</v>
      </c>
      <c r="B30">
        <v>4642</v>
      </c>
      <c r="C30">
        <f t="shared" si="0"/>
        <v>4.1401958432148323E-3</v>
      </c>
      <c r="D30">
        <f>SUM($C$2:C30)</f>
        <v>0.93808614497107146</v>
      </c>
      <c r="E30">
        <v>497</v>
      </c>
      <c r="F30">
        <v>1</v>
      </c>
      <c r="G30">
        <v>11.97134855665661</v>
      </c>
      <c r="H30">
        <v>51</v>
      </c>
      <c r="I30" t="s">
        <v>17</v>
      </c>
      <c r="J30">
        <v>512</v>
      </c>
      <c r="K30" t="s">
        <v>51</v>
      </c>
      <c r="L30" t="s">
        <v>131</v>
      </c>
    </row>
    <row r="31" spans="1:12" x14ac:dyDescent="0.2">
      <c r="A31">
        <v>492</v>
      </c>
      <c r="B31">
        <v>4607</v>
      </c>
      <c r="C31">
        <f t="shared" si="0"/>
        <v>4.1089793730484129E-3</v>
      </c>
      <c r="D31">
        <f>SUM($C$2:C31)</f>
        <v>0.94219512434411989</v>
      </c>
      <c r="E31">
        <v>123</v>
      </c>
      <c r="F31">
        <v>1</v>
      </c>
      <c r="G31">
        <v>3.3857173865856312</v>
      </c>
      <c r="H31">
        <v>49</v>
      </c>
      <c r="I31" t="s">
        <v>13</v>
      </c>
      <c r="J31">
        <v>492</v>
      </c>
      <c r="K31" t="s">
        <v>52</v>
      </c>
      <c r="L31" t="s">
        <v>131</v>
      </c>
    </row>
    <row r="32" spans="1:12" x14ac:dyDescent="0.2">
      <c r="A32">
        <v>442</v>
      </c>
      <c r="B32">
        <v>4230</v>
      </c>
      <c r="C32">
        <f t="shared" si="0"/>
        <v>3.772733394398695E-3</v>
      </c>
      <c r="D32">
        <f>SUM($C$2:C32)</f>
        <v>0.94596785773851855</v>
      </c>
      <c r="E32">
        <v>561</v>
      </c>
      <c r="F32">
        <v>1</v>
      </c>
      <c r="G32">
        <v>2.9983451536643031</v>
      </c>
      <c r="H32">
        <v>44</v>
      </c>
      <c r="I32" t="s">
        <v>7</v>
      </c>
      <c r="J32">
        <v>442</v>
      </c>
      <c r="K32" t="s">
        <v>53</v>
      </c>
      <c r="L32" t="s">
        <v>7</v>
      </c>
    </row>
    <row r="33" spans="1:12" x14ac:dyDescent="0.2">
      <c r="A33">
        <v>493</v>
      </c>
      <c r="B33">
        <v>4163</v>
      </c>
      <c r="C33">
        <f t="shared" si="0"/>
        <v>3.7129761515086921E-3</v>
      </c>
      <c r="D33">
        <f>SUM($C$2:C33)</f>
        <v>0.94968083389002722</v>
      </c>
      <c r="E33">
        <v>127</v>
      </c>
      <c r="F33">
        <v>1</v>
      </c>
      <c r="G33">
        <v>4.1837617103050686</v>
      </c>
      <c r="H33">
        <v>49</v>
      </c>
      <c r="I33" t="s">
        <v>13</v>
      </c>
      <c r="J33">
        <v>493</v>
      </c>
      <c r="K33" t="s">
        <v>54</v>
      </c>
      <c r="L33" t="s">
        <v>131</v>
      </c>
    </row>
    <row r="34" spans="1:12" x14ac:dyDescent="0.2">
      <c r="A34">
        <v>311</v>
      </c>
      <c r="B34">
        <v>3254</v>
      </c>
      <c r="C34">
        <f t="shared" si="0"/>
        <v>2.9022398263293982E-3</v>
      </c>
      <c r="D34">
        <f>SUM($C$2:C34)</f>
        <v>0.95258307371635664</v>
      </c>
      <c r="E34">
        <v>252</v>
      </c>
      <c r="F34">
        <v>1</v>
      </c>
      <c r="G34">
        <v>3.4268592501536572</v>
      </c>
      <c r="H34">
        <v>31</v>
      </c>
      <c r="I34" t="s">
        <v>15</v>
      </c>
      <c r="J34">
        <v>311</v>
      </c>
      <c r="K34" t="s">
        <v>55</v>
      </c>
      <c r="L34" t="s">
        <v>127</v>
      </c>
    </row>
    <row r="35" spans="1:12" x14ac:dyDescent="0.2">
      <c r="A35">
        <v>424</v>
      </c>
      <c r="B35">
        <v>3162</v>
      </c>
      <c r="C35">
        <f t="shared" si="0"/>
        <v>2.8201851047490955E-3</v>
      </c>
      <c r="D35">
        <f>SUM($C$2:C35)</f>
        <v>0.95540325882110577</v>
      </c>
      <c r="E35">
        <v>47</v>
      </c>
      <c r="F35">
        <v>1</v>
      </c>
      <c r="G35">
        <v>2.4067046173308029</v>
      </c>
      <c r="H35">
        <v>42</v>
      </c>
      <c r="I35" t="s">
        <v>18</v>
      </c>
      <c r="J35">
        <v>424</v>
      </c>
      <c r="K35" t="s">
        <v>56</v>
      </c>
      <c r="L35" t="s">
        <v>7</v>
      </c>
    </row>
    <row r="36" spans="1:12" x14ac:dyDescent="0.2">
      <c r="A36">
        <v>551</v>
      </c>
      <c r="B36">
        <v>3019</v>
      </c>
      <c r="C36">
        <f t="shared" si="0"/>
        <v>2.6926435266405816E-3</v>
      </c>
      <c r="D36">
        <f>SUM($C$2:C36)</f>
        <v>0.95809590234774633</v>
      </c>
      <c r="E36">
        <v>313</v>
      </c>
      <c r="F36">
        <v>1</v>
      </c>
      <c r="G36">
        <v>2.1050016561775422</v>
      </c>
      <c r="H36">
        <v>55</v>
      </c>
      <c r="I36" t="s">
        <v>19</v>
      </c>
      <c r="J36">
        <v>551</v>
      </c>
      <c r="K36" t="s">
        <v>19</v>
      </c>
      <c r="L36" t="s">
        <v>127</v>
      </c>
    </row>
    <row r="37" spans="1:12" x14ac:dyDescent="0.2">
      <c r="A37">
        <v>491</v>
      </c>
      <c r="B37">
        <v>2947</v>
      </c>
      <c r="C37">
        <f t="shared" si="0"/>
        <v>2.6284267880125186E-3</v>
      </c>
      <c r="D37">
        <f>SUM($C$2:C37)</f>
        <v>0.96072432913575889</v>
      </c>
      <c r="E37">
        <v>20</v>
      </c>
      <c r="F37">
        <v>1</v>
      </c>
      <c r="G37">
        <v>1.751951136749236</v>
      </c>
      <c r="H37">
        <v>49</v>
      </c>
      <c r="I37" t="s">
        <v>13</v>
      </c>
      <c r="J37">
        <v>491</v>
      </c>
      <c r="K37" t="s">
        <v>57</v>
      </c>
      <c r="L37" t="s">
        <v>131</v>
      </c>
    </row>
    <row r="38" spans="1:12" x14ac:dyDescent="0.2">
      <c r="A38">
        <v>111</v>
      </c>
      <c r="B38">
        <v>2817</v>
      </c>
      <c r="C38">
        <f t="shared" si="0"/>
        <v>2.5124798988229607E-3</v>
      </c>
      <c r="D38">
        <f>SUM($C$2:C38)</f>
        <v>0.96323680903458186</v>
      </c>
      <c r="E38">
        <v>209</v>
      </c>
      <c r="F38">
        <v>1</v>
      </c>
      <c r="G38">
        <v>2.7316293929712461</v>
      </c>
      <c r="H38">
        <v>11</v>
      </c>
      <c r="I38" t="s">
        <v>20</v>
      </c>
      <c r="J38">
        <v>111</v>
      </c>
      <c r="K38" t="s">
        <v>58</v>
      </c>
      <c r="L38" t="s">
        <v>127</v>
      </c>
    </row>
    <row r="39" spans="1:12" x14ac:dyDescent="0.2">
      <c r="A39">
        <v>622</v>
      </c>
      <c r="B39">
        <v>2726</v>
      </c>
      <c r="C39">
        <f t="shared" si="0"/>
        <v>2.4313170763902701E-3</v>
      </c>
      <c r="D39">
        <f>SUM($C$2:C39)</f>
        <v>0.96566812611097208</v>
      </c>
      <c r="E39">
        <v>86</v>
      </c>
      <c r="F39">
        <v>1</v>
      </c>
      <c r="G39">
        <v>2.8220836390315478</v>
      </c>
      <c r="H39">
        <v>62</v>
      </c>
      <c r="I39" t="s">
        <v>10</v>
      </c>
      <c r="J39">
        <v>622</v>
      </c>
      <c r="K39" t="s">
        <v>59</v>
      </c>
      <c r="L39" t="s">
        <v>126</v>
      </c>
    </row>
    <row r="40" spans="1:12" x14ac:dyDescent="0.2">
      <c r="A40">
        <v>485</v>
      </c>
      <c r="B40">
        <v>2587</v>
      </c>
      <c r="C40">
        <f t="shared" si="0"/>
        <v>2.3073430948722042E-3</v>
      </c>
      <c r="D40">
        <f>SUM($C$2:C40)</f>
        <v>0.96797546920584432</v>
      </c>
      <c r="E40">
        <v>165</v>
      </c>
      <c r="F40">
        <v>1</v>
      </c>
      <c r="G40">
        <v>3.1519134132199458</v>
      </c>
      <c r="H40">
        <v>48</v>
      </c>
      <c r="I40" t="s">
        <v>13</v>
      </c>
      <c r="J40">
        <v>485</v>
      </c>
      <c r="K40" t="s">
        <v>60</v>
      </c>
      <c r="L40" t="s">
        <v>130</v>
      </c>
    </row>
    <row r="41" spans="1:12" x14ac:dyDescent="0.2">
      <c r="A41">
        <v>333</v>
      </c>
      <c r="B41">
        <v>2387</v>
      </c>
      <c r="C41">
        <f t="shared" si="0"/>
        <v>2.1289632653498074E-3</v>
      </c>
      <c r="D41">
        <f>SUM($C$2:C41)</f>
        <v>0.97010443247119416</v>
      </c>
      <c r="E41">
        <v>44</v>
      </c>
      <c r="F41">
        <v>1</v>
      </c>
      <c r="G41">
        <v>1.906996229576875</v>
      </c>
      <c r="H41">
        <v>33</v>
      </c>
      <c r="I41" t="s">
        <v>15</v>
      </c>
      <c r="J41">
        <v>333</v>
      </c>
      <c r="K41" t="s">
        <v>61</v>
      </c>
      <c r="L41" t="s">
        <v>127</v>
      </c>
    </row>
    <row r="42" spans="1:12" x14ac:dyDescent="0.2">
      <c r="A42">
        <v>423</v>
      </c>
      <c r="B42">
        <v>2220</v>
      </c>
      <c r="C42">
        <f t="shared" si="0"/>
        <v>1.9800161076986059E-3</v>
      </c>
      <c r="D42">
        <f>SUM($C$2:C42)</f>
        <v>0.97208444857889276</v>
      </c>
      <c r="E42">
        <v>70</v>
      </c>
      <c r="F42">
        <v>1</v>
      </c>
      <c r="G42">
        <v>1.9153153153153151</v>
      </c>
      <c r="H42">
        <v>42</v>
      </c>
      <c r="I42" t="s">
        <v>18</v>
      </c>
      <c r="J42">
        <v>423</v>
      </c>
      <c r="K42" t="s">
        <v>62</v>
      </c>
      <c r="L42" t="s">
        <v>7</v>
      </c>
    </row>
    <row r="43" spans="1:12" x14ac:dyDescent="0.2">
      <c r="A43">
        <v>519</v>
      </c>
      <c r="B43">
        <v>2145</v>
      </c>
      <c r="C43">
        <f t="shared" si="0"/>
        <v>1.9131236716277071E-3</v>
      </c>
      <c r="D43">
        <f>SUM($C$2:C43)</f>
        <v>0.97399757225052042</v>
      </c>
      <c r="E43">
        <v>44</v>
      </c>
      <c r="F43">
        <v>1</v>
      </c>
      <c r="G43">
        <v>1.8662004662004661</v>
      </c>
      <c r="H43">
        <v>51</v>
      </c>
      <c r="I43" t="s">
        <v>17</v>
      </c>
      <c r="J43">
        <v>519</v>
      </c>
      <c r="K43" t="s">
        <v>63</v>
      </c>
      <c r="L43" t="s">
        <v>131</v>
      </c>
    </row>
    <row r="44" spans="1:12" x14ac:dyDescent="0.2">
      <c r="A44">
        <v>454</v>
      </c>
      <c r="B44">
        <v>2026</v>
      </c>
      <c r="C44">
        <f t="shared" si="0"/>
        <v>1.8069876730618809E-3</v>
      </c>
      <c r="D44">
        <f>SUM($C$2:C44)</f>
        <v>0.97580455992358228</v>
      </c>
      <c r="E44">
        <v>80</v>
      </c>
      <c r="F44">
        <v>1</v>
      </c>
      <c r="G44">
        <v>1.513820335636723</v>
      </c>
      <c r="H44">
        <v>45</v>
      </c>
      <c r="I44" t="s">
        <v>7</v>
      </c>
      <c r="J44">
        <v>454</v>
      </c>
      <c r="K44" t="s">
        <v>64</v>
      </c>
      <c r="L44" t="s">
        <v>7</v>
      </c>
    </row>
    <row r="45" spans="1:12" x14ac:dyDescent="0.2">
      <c r="A45">
        <v>238</v>
      </c>
      <c r="B45">
        <v>2013</v>
      </c>
      <c r="C45">
        <f t="shared" si="0"/>
        <v>1.795392984142925E-3</v>
      </c>
      <c r="D45">
        <f>SUM($C$2:C45)</f>
        <v>0.97759995290772517</v>
      </c>
      <c r="E45">
        <v>23</v>
      </c>
      <c r="F45">
        <v>1</v>
      </c>
      <c r="G45">
        <v>1.1609538002980631</v>
      </c>
      <c r="H45">
        <v>23</v>
      </c>
      <c r="I45" t="s">
        <v>21</v>
      </c>
      <c r="J45">
        <v>238</v>
      </c>
      <c r="K45" t="s">
        <v>65</v>
      </c>
      <c r="L45" t="s">
        <v>127</v>
      </c>
    </row>
    <row r="46" spans="1:12" x14ac:dyDescent="0.2">
      <c r="A46">
        <v>921</v>
      </c>
      <c r="B46">
        <v>1964</v>
      </c>
      <c r="C46">
        <f t="shared" si="0"/>
        <v>1.7516899259099378E-3</v>
      </c>
      <c r="D46">
        <f>SUM($C$2:C46)</f>
        <v>0.97935164283363507</v>
      </c>
      <c r="E46">
        <v>66</v>
      </c>
      <c r="F46">
        <v>1</v>
      </c>
      <c r="G46">
        <v>2.2963340122199591</v>
      </c>
      <c r="H46">
        <v>92</v>
      </c>
      <c r="I46" t="s">
        <v>22</v>
      </c>
      <c r="J46">
        <v>921</v>
      </c>
      <c r="K46" t="s">
        <v>66</v>
      </c>
      <c r="L46" t="s">
        <v>133</v>
      </c>
    </row>
    <row r="47" spans="1:12" x14ac:dyDescent="0.2">
      <c r="A47">
        <v>624</v>
      </c>
      <c r="B47">
        <v>1903</v>
      </c>
      <c r="C47">
        <f t="shared" si="0"/>
        <v>1.6972840779056067E-3</v>
      </c>
      <c r="D47">
        <f>SUM($C$2:C47)</f>
        <v>0.98104892691154066</v>
      </c>
      <c r="E47">
        <v>12</v>
      </c>
      <c r="F47">
        <v>1</v>
      </c>
      <c r="G47">
        <v>1.338413032054651</v>
      </c>
      <c r="H47">
        <v>62</v>
      </c>
      <c r="I47" t="s">
        <v>10</v>
      </c>
      <c r="J47">
        <v>624</v>
      </c>
      <c r="K47" t="s">
        <v>67</v>
      </c>
      <c r="L47" t="s">
        <v>126</v>
      </c>
    </row>
    <row r="48" spans="1:12" x14ac:dyDescent="0.2">
      <c r="A48">
        <v>237</v>
      </c>
      <c r="B48">
        <v>1677</v>
      </c>
      <c r="C48">
        <f t="shared" si="0"/>
        <v>1.4957148705452982E-3</v>
      </c>
      <c r="D48">
        <f>SUM($C$2:C48)</f>
        <v>0.982544641782086</v>
      </c>
      <c r="E48">
        <v>380</v>
      </c>
      <c r="F48">
        <v>1</v>
      </c>
      <c r="G48">
        <v>2.9940369707811572</v>
      </c>
      <c r="H48">
        <v>23</v>
      </c>
      <c r="I48" t="s">
        <v>21</v>
      </c>
      <c r="J48">
        <v>237</v>
      </c>
      <c r="K48" t="s">
        <v>68</v>
      </c>
      <c r="L48" t="s">
        <v>127</v>
      </c>
    </row>
    <row r="49" spans="1:12" x14ac:dyDescent="0.2">
      <c r="A49">
        <v>486</v>
      </c>
      <c r="B49">
        <v>1605</v>
      </c>
      <c r="C49">
        <f t="shared" si="0"/>
        <v>1.4314981319172354E-3</v>
      </c>
      <c r="D49">
        <f>SUM($C$2:C49)</f>
        <v>0.98397613991400323</v>
      </c>
      <c r="E49">
        <v>302</v>
      </c>
      <c r="F49">
        <v>1</v>
      </c>
      <c r="G49">
        <v>12.059190031152649</v>
      </c>
      <c r="H49">
        <v>48</v>
      </c>
      <c r="I49" t="s">
        <v>13</v>
      </c>
      <c r="J49">
        <v>486</v>
      </c>
      <c r="K49" t="s">
        <v>69</v>
      </c>
      <c r="L49" t="s">
        <v>130</v>
      </c>
    </row>
    <row r="50" spans="1:12" x14ac:dyDescent="0.2">
      <c r="A50">
        <v>524</v>
      </c>
      <c r="B50">
        <v>1553</v>
      </c>
      <c r="C50">
        <f t="shared" si="0"/>
        <v>1.3851193762414121E-3</v>
      </c>
      <c r="D50">
        <f>SUM($C$2:C50)</f>
        <v>0.98536125929024465</v>
      </c>
      <c r="E50">
        <v>16</v>
      </c>
      <c r="F50">
        <v>1</v>
      </c>
      <c r="G50">
        <v>1.4623309723116551</v>
      </c>
      <c r="H50">
        <v>52</v>
      </c>
      <c r="I50" t="s">
        <v>16</v>
      </c>
      <c r="J50">
        <v>524</v>
      </c>
      <c r="K50" t="s">
        <v>70</v>
      </c>
      <c r="L50" t="s">
        <v>131</v>
      </c>
    </row>
    <row r="51" spans="1:12" x14ac:dyDescent="0.2">
      <c r="A51">
        <v>236</v>
      </c>
      <c r="B51">
        <v>1537</v>
      </c>
      <c r="C51">
        <f t="shared" si="0"/>
        <v>1.3708489898796204E-3</v>
      </c>
      <c r="D51">
        <f>SUM($C$2:C51)</f>
        <v>0.98673210828012425</v>
      </c>
      <c r="E51">
        <v>81</v>
      </c>
      <c r="F51">
        <v>1</v>
      </c>
      <c r="G51">
        <v>1.6473649967469099</v>
      </c>
      <c r="H51">
        <v>23</v>
      </c>
      <c r="I51" t="s">
        <v>21</v>
      </c>
      <c r="J51">
        <v>236</v>
      </c>
      <c r="K51" t="s">
        <v>71</v>
      </c>
      <c r="L51" t="s">
        <v>127</v>
      </c>
    </row>
    <row r="52" spans="1:12" x14ac:dyDescent="0.2">
      <c r="A52">
        <v>926</v>
      </c>
      <c r="B52">
        <v>1513</v>
      </c>
      <c r="C52">
        <f t="shared" si="0"/>
        <v>1.3494434103369327E-3</v>
      </c>
      <c r="D52">
        <f>SUM($C$2:C52)</f>
        <v>0.98808155169046119</v>
      </c>
      <c r="E52">
        <v>95</v>
      </c>
      <c r="F52">
        <v>1</v>
      </c>
      <c r="G52">
        <v>3.565763384005288</v>
      </c>
      <c r="H52">
        <v>92</v>
      </c>
      <c r="I52" t="s">
        <v>22</v>
      </c>
      <c r="J52">
        <v>926</v>
      </c>
      <c r="K52" t="s">
        <v>72</v>
      </c>
      <c r="L52" t="s">
        <v>133</v>
      </c>
    </row>
    <row r="53" spans="1:12" x14ac:dyDescent="0.2">
      <c r="A53">
        <v>623</v>
      </c>
      <c r="B53">
        <v>1395</v>
      </c>
      <c r="C53">
        <f t="shared" si="0"/>
        <v>1.2441993109187186E-3</v>
      </c>
      <c r="D53">
        <f>SUM($C$2:C53)</f>
        <v>0.98932575100137987</v>
      </c>
      <c r="E53">
        <v>18</v>
      </c>
      <c r="F53">
        <v>1</v>
      </c>
      <c r="G53">
        <v>1.325448028673835</v>
      </c>
      <c r="H53">
        <v>62</v>
      </c>
      <c r="I53" t="s">
        <v>10</v>
      </c>
      <c r="J53">
        <v>623</v>
      </c>
      <c r="K53" t="s">
        <v>73</v>
      </c>
      <c r="L53" t="s">
        <v>126</v>
      </c>
    </row>
    <row r="54" spans="1:12" s="3" customFormat="1" x14ac:dyDescent="0.2">
      <c r="A54" s="3">
        <v>562</v>
      </c>
      <c r="B54" s="3">
        <v>1340</v>
      </c>
      <c r="C54" s="3">
        <f t="shared" si="0"/>
        <v>1.1951448578000595E-3</v>
      </c>
      <c r="D54" s="3">
        <f>SUM($C$2:C54)</f>
        <v>0.99052089585917991</v>
      </c>
      <c r="E54" s="3">
        <v>17</v>
      </c>
      <c r="F54" s="3">
        <v>1</v>
      </c>
      <c r="G54" s="3">
        <v>1.551492537313433</v>
      </c>
      <c r="H54" s="3">
        <v>56</v>
      </c>
      <c r="I54" s="3" t="s">
        <v>12</v>
      </c>
      <c r="J54" s="3">
        <v>562</v>
      </c>
      <c r="K54" s="3" t="s">
        <v>74</v>
      </c>
      <c r="L54" t="s">
        <v>133</v>
      </c>
    </row>
    <row r="55" spans="1:12" x14ac:dyDescent="0.2">
      <c r="A55">
        <v>922</v>
      </c>
      <c r="B55">
        <v>1232</v>
      </c>
      <c r="C55">
        <f t="shared" si="0"/>
        <v>1.098819749857965E-3</v>
      </c>
      <c r="D55">
        <f>SUM($C$2:C55)</f>
        <v>0.99161971560903783</v>
      </c>
      <c r="E55">
        <v>42</v>
      </c>
      <c r="F55">
        <v>1</v>
      </c>
      <c r="G55">
        <v>1.5129870129870131</v>
      </c>
      <c r="H55">
        <v>92</v>
      </c>
      <c r="I55" t="s">
        <v>22</v>
      </c>
      <c r="J55">
        <v>922</v>
      </c>
      <c r="K55" t="s">
        <v>75</v>
      </c>
      <c r="L55" t="s">
        <v>133</v>
      </c>
    </row>
    <row r="56" spans="1:12" x14ac:dyDescent="0.2">
      <c r="A56">
        <v>517</v>
      </c>
      <c r="B56">
        <v>895</v>
      </c>
      <c r="C56">
        <f t="shared" si="0"/>
        <v>7.9824973711272622E-4</v>
      </c>
      <c r="D56">
        <f>SUM($C$2:C56)</f>
        <v>0.99241796534615057</v>
      </c>
      <c r="E56">
        <v>79</v>
      </c>
      <c r="F56">
        <v>1</v>
      </c>
      <c r="G56">
        <v>2.3128491620111729</v>
      </c>
      <c r="H56">
        <v>51</v>
      </c>
      <c r="I56" t="s">
        <v>17</v>
      </c>
      <c r="J56">
        <v>517</v>
      </c>
      <c r="K56" t="s">
        <v>76</v>
      </c>
      <c r="L56" t="s">
        <v>127</v>
      </c>
    </row>
    <row r="57" spans="1:12" x14ac:dyDescent="0.2">
      <c r="A57">
        <v>482</v>
      </c>
      <c r="B57">
        <v>812</v>
      </c>
      <c r="C57">
        <f t="shared" si="0"/>
        <v>7.2422210786093151E-4</v>
      </c>
      <c r="D57">
        <f>SUM($C$2:C57)</f>
        <v>0.9931421874540115</v>
      </c>
      <c r="E57">
        <v>58</v>
      </c>
      <c r="F57">
        <v>1</v>
      </c>
      <c r="G57">
        <v>3.112068965517242</v>
      </c>
      <c r="H57">
        <v>48</v>
      </c>
      <c r="I57" t="s">
        <v>13</v>
      </c>
      <c r="J57">
        <v>482</v>
      </c>
      <c r="K57" t="s">
        <v>77</v>
      </c>
      <c r="L57" t="s">
        <v>130</v>
      </c>
    </row>
    <row r="58" spans="1:12" x14ac:dyDescent="0.2">
      <c r="A58">
        <v>487</v>
      </c>
      <c r="B58">
        <v>675</v>
      </c>
      <c r="C58">
        <f t="shared" si="0"/>
        <v>6.0203192463808967E-4</v>
      </c>
      <c r="D58">
        <f>SUM($C$2:C58)</f>
        <v>0.99374421937864954</v>
      </c>
      <c r="E58">
        <v>151</v>
      </c>
      <c r="F58">
        <v>1</v>
      </c>
      <c r="G58">
        <v>2.9170370370370371</v>
      </c>
      <c r="H58">
        <v>48</v>
      </c>
      <c r="I58" t="s">
        <v>13</v>
      </c>
      <c r="J58">
        <v>487</v>
      </c>
      <c r="K58" t="s">
        <v>78</v>
      </c>
      <c r="L58" t="s">
        <v>130</v>
      </c>
    </row>
    <row r="59" spans="1:12" x14ac:dyDescent="0.2">
      <c r="A59">
        <v>323</v>
      </c>
      <c r="B59">
        <v>482</v>
      </c>
      <c r="C59">
        <f t="shared" si="0"/>
        <v>4.2989538914897657E-4</v>
      </c>
      <c r="D59">
        <f>SUM($C$2:C59)</f>
        <v>0.99417411476779849</v>
      </c>
      <c r="E59">
        <v>11</v>
      </c>
      <c r="F59">
        <v>1</v>
      </c>
      <c r="G59">
        <v>1.50207468879668</v>
      </c>
      <c r="H59">
        <v>32</v>
      </c>
      <c r="I59" t="s">
        <v>15</v>
      </c>
      <c r="J59">
        <v>323</v>
      </c>
      <c r="K59" t="s">
        <v>79</v>
      </c>
      <c r="L59" t="s">
        <v>127</v>
      </c>
    </row>
    <row r="60" spans="1:12" x14ac:dyDescent="0.2">
      <c r="A60">
        <v>112</v>
      </c>
      <c r="B60">
        <v>449</v>
      </c>
      <c r="C60">
        <f t="shared" si="0"/>
        <v>4.0046271727778109E-4</v>
      </c>
      <c r="D60">
        <f>SUM($C$2:C60)</f>
        <v>0.99457457748507627</v>
      </c>
      <c r="E60">
        <v>97</v>
      </c>
      <c r="F60">
        <v>1</v>
      </c>
      <c r="G60">
        <v>2.2939866369710469</v>
      </c>
      <c r="H60">
        <v>11</v>
      </c>
      <c r="I60" t="s">
        <v>20</v>
      </c>
      <c r="J60">
        <v>112</v>
      </c>
      <c r="K60" t="s">
        <v>80</v>
      </c>
      <c r="L60" t="s">
        <v>127</v>
      </c>
    </row>
    <row r="61" spans="1:12" x14ac:dyDescent="0.2">
      <c r="A61">
        <v>511</v>
      </c>
      <c r="B61">
        <v>426</v>
      </c>
      <c r="C61">
        <f t="shared" si="0"/>
        <v>3.7994903688270547E-4</v>
      </c>
      <c r="D61">
        <f>SUM($C$2:C61)</f>
        <v>0.99495452652195893</v>
      </c>
      <c r="E61">
        <v>45</v>
      </c>
      <c r="F61">
        <v>1</v>
      </c>
      <c r="G61">
        <v>1.988262910798122</v>
      </c>
      <c r="H61">
        <v>51</v>
      </c>
      <c r="I61" t="s">
        <v>17</v>
      </c>
      <c r="J61">
        <v>511</v>
      </c>
      <c r="K61" t="s">
        <v>81</v>
      </c>
      <c r="L61" t="s">
        <v>127</v>
      </c>
    </row>
    <row r="62" spans="1:12" x14ac:dyDescent="0.2">
      <c r="A62">
        <v>113</v>
      </c>
      <c r="B62">
        <v>426</v>
      </c>
      <c r="C62">
        <f t="shared" si="0"/>
        <v>3.7994903688270547E-4</v>
      </c>
      <c r="D62">
        <f>SUM($C$2:C62)</f>
        <v>0.99533447555884158</v>
      </c>
      <c r="E62">
        <v>119</v>
      </c>
      <c r="F62">
        <v>1</v>
      </c>
      <c r="G62">
        <v>4.237089201877934</v>
      </c>
      <c r="H62">
        <v>11</v>
      </c>
      <c r="I62" t="s">
        <v>20</v>
      </c>
      <c r="J62">
        <v>113</v>
      </c>
      <c r="K62" t="s">
        <v>82</v>
      </c>
      <c r="L62" t="s">
        <v>127</v>
      </c>
    </row>
    <row r="63" spans="1:12" x14ac:dyDescent="0.2">
      <c r="A63">
        <v>923</v>
      </c>
      <c r="B63">
        <v>373</v>
      </c>
      <c r="C63">
        <f t="shared" si="0"/>
        <v>3.3267838205927028E-4</v>
      </c>
      <c r="D63">
        <f>SUM($C$2:C63)</f>
        <v>0.99566715394090088</v>
      </c>
      <c r="E63">
        <v>29</v>
      </c>
      <c r="F63">
        <v>1</v>
      </c>
      <c r="G63">
        <v>2.399463806970509</v>
      </c>
      <c r="H63">
        <v>92</v>
      </c>
      <c r="I63" t="s">
        <v>22</v>
      </c>
      <c r="J63">
        <v>923</v>
      </c>
      <c r="K63" t="s">
        <v>83</v>
      </c>
      <c r="L63" t="s">
        <v>133</v>
      </c>
    </row>
    <row r="64" spans="1:12" x14ac:dyDescent="0.2">
      <c r="A64">
        <v>339</v>
      </c>
      <c r="B64">
        <v>362</v>
      </c>
      <c r="C64">
        <f t="shared" si="0"/>
        <v>3.2286749143553843E-4</v>
      </c>
      <c r="D64">
        <f>SUM($C$2:C64)</f>
        <v>0.99599002143233639</v>
      </c>
      <c r="E64">
        <v>26</v>
      </c>
      <c r="F64">
        <v>1</v>
      </c>
      <c r="G64">
        <v>1.298342541436464</v>
      </c>
      <c r="H64">
        <v>33</v>
      </c>
      <c r="I64" t="s">
        <v>15</v>
      </c>
      <c r="J64">
        <v>339</v>
      </c>
      <c r="K64" t="s">
        <v>84</v>
      </c>
      <c r="L64" t="s">
        <v>127</v>
      </c>
    </row>
    <row r="65" spans="1:12" x14ac:dyDescent="0.2">
      <c r="A65">
        <v>221</v>
      </c>
      <c r="B65">
        <v>346</v>
      </c>
      <c r="C65">
        <f t="shared" si="0"/>
        <v>3.0859710507374666E-4</v>
      </c>
      <c r="D65">
        <f>SUM($C$2:C65)</f>
        <v>0.99629861853741009</v>
      </c>
      <c r="E65">
        <v>13</v>
      </c>
      <c r="F65">
        <v>1</v>
      </c>
      <c r="G65">
        <v>1.3930635838150289</v>
      </c>
      <c r="H65">
        <v>22</v>
      </c>
      <c r="I65" t="s">
        <v>23</v>
      </c>
      <c r="J65">
        <v>221</v>
      </c>
      <c r="K65" t="s">
        <v>85</v>
      </c>
      <c r="L65" t="s">
        <v>133</v>
      </c>
    </row>
    <row r="66" spans="1:12" x14ac:dyDescent="0.2">
      <c r="A66">
        <v>322</v>
      </c>
      <c r="B66">
        <v>343</v>
      </c>
      <c r="C66">
        <f t="shared" si="0"/>
        <v>3.059214076309107E-4</v>
      </c>
      <c r="D66">
        <f>SUM($C$2:C66)</f>
        <v>0.99660453994504095</v>
      </c>
      <c r="E66">
        <v>20</v>
      </c>
      <c r="F66">
        <v>1</v>
      </c>
      <c r="G66">
        <v>2.119533527696793</v>
      </c>
      <c r="H66">
        <v>32</v>
      </c>
      <c r="I66" t="s">
        <v>15</v>
      </c>
      <c r="J66">
        <v>322</v>
      </c>
      <c r="K66" t="s">
        <v>86</v>
      </c>
      <c r="L66" t="s">
        <v>127</v>
      </c>
    </row>
    <row r="67" spans="1:12" x14ac:dyDescent="0.2">
      <c r="A67">
        <v>327</v>
      </c>
      <c r="B67">
        <v>341</v>
      </c>
      <c r="C67">
        <f t="shared" ref="C67:C96" si="1">B67/$B$97</f>
        <v>3.0413760933568678E-4</v>
      </c>
      <c r="D67">
        <f>SUM($C$2:C67)</f>
        <v>0.99690867755437662</v>
      </c>
      <c r="E67">
        <v>7</v>
      </c>
      <c r="F67">
        <v>1</v>
      </c>
      <c r="G67">
        <v>1.3108504398826979</v>
      </c>
      <c r="H67">
        <v>32</v>
      </c>
      <c r="I67" t="s">
        <v>15</v>
      </c>
      <c r="J67">
        <v>327</v>
      </c>
      <c r="K67" t="s">
        <v>87</v>
      </c>
      <c r="L67" t="s">
        <v>127</v>
      </c>
    </row>
    <row r="68" spans="1:12" x14ac:dyDescent="0.2">
      <c r="A68">
        <v>928</v>
      </c>
      <c r="B68">
        <v>318</v>
      </c>
      <c r="C68">
        <f t="shared" si="1"/>
        <v>2.8362392894061111E-4</v>
      </c>
      <c r="D68">
        <f>SUM($C$2:C68)</f>
        <v>0.99719230148331728</v>
      </c>
      <c r="E68">
        <v>126</v>
      </c>
      <c r="F68">
        <v>1</v>
      </c>
      <c r="G68">
        <v>3.1855345911949691</v>
      </c>
      <c r="H68">
        <v>92</v>
      </c>
      <c r="I68" t="s">
        <v>22</v>
      </c>
      <c r="J68">
        <v>928</v>
      </c>
      <c r="K68" t="s">
        <v>88</v>
      </c>
      <c r="L68" t="s">
        <v>133</v>
      </c>
    </row>
    <row r="69" spans="1:12" x14ac:dyDescent="0.2">
      <c r="A69">
        <v>483</v>
      </c>
      <c r="B69">
        <v>305</v>
      </c>
      <c r="C69">
        <f t="shared" si="1"/>
        <v>2.720292400216553E-4</v>
      </c>
      <c r="D69">
        <f>SUM($C$2:C69)</f>
        <v>0.99746433072333895</v>
      </c>
      <c r="E69">
        <v>51</v>
      </c>
      <c r="F69">
        <v>1</v>
      </c>
      <c r="G69">
        <v>4.1868852459016397</v>
      </c>
      <c r="H69">
        <v>48</v>
      </c>
      <c r="I69" t="s">
        <v>13</v>
      </c>
      <c r="J69">
        <v>483</v>
      </c>
      <c r="K69" t="s">
        <v>89</v>
      </c>
      <c r="L69" t="s">
        <v>130</v>
      </c>
    </row>
    <row r="70" spans="1:12" x14ac:dyDescent="0.2">
      <c r="A70">
        <v>332</v>
      </c>
      <c r="B70">
        <v>280</v>
      </c>
      <c r="C70">
        <f t="shared" si="1"/>
        <v>2.497317613313557E-4</v>
      </c>
      <c r="D70">
        <f>SUM($C$2:C70)</f>
        <v>0.99771406248467032</v>
      </c>
      <c r="E70">
        <v>21</v>
      </c>
      <c r="F70">
        <v>1</v>
      </c>
      <c r="G70">
        <v>1.464285714285714</v>
      </c>
      <c r="H70">
        <v>33</v>
      </c>
      <c r="I70" t="s">
        <v>15</v>
      </c>
      <c r="J70">
        <v>332</v>
      </c>
      <c r="K70" t="s">
        <v>90</v>
      </c>
      <c r="L70" t="s">
        <v>127</v>
      </c>
    </row>
    <row r="71" spans="1:12" x14ac:dyDescent="0.2">
      <c r="A71">
        <v>326</v>
      </c>
      <c r="B71">
        <v>278</v>
      </c>
      <c r="C71">
        <f t="shared" si="1"/>
        <v>2.4794796303613173E-4</v>
      </c>
      <c r="D71">
        <f>SUM($C$2:C71)</f>
        <v>0.99796201044770649</v>
      </c>
      <c r="E71">
        <v>8</v>
      </c>
      <c r="F71">
        <v>1</v>
      </c>
      <c r="G71">
        <v>1.471223021582734</v>
      </c>
      <c r="H71">
        <v>32</v>
      </c>
      <c r="I71" t="s">
        <v>15</v>
      </c>
      <c r="J71">
        <v>326</v>
      </c>
      <c r="K71" t="s">
        <v>91</v>
      </c>
      <c r="L71" t="s">
        <v>127</v>
      </c>
    </row>
    <row r="72" spans="1:12" x14ac:dyDescent="0.2">
      <c r="A72">
        <v>115</v>
      </c>
      <c r="B72">
        <v>269</v>
      </c>
      <c r="C72">
        <f t="shared" si="1"/>
        <v>2.3992087070762386E-4</v>
      </c>
      <c r="D72">
        <f>SUM($C$2:C72)</f>
        <v>0.99820193131841417</v>
      </c>
      <c r="E72">
        <v>29</v>
      </c>
      <c r="F72">
        <v>1</v>
      </c>
      <c r="G72">
        <v>2.033457249070632</v>
      </c>
      <c r="H72">
        <v>11</v>
      </c>
      <c r="I72" t="s">
        <v>20</v>
      </c>
      <c r="J72">
        <v>115</v>
      </c>
      <c r="K72" t="s">
        <v>92</v>
      </c>
      <c r="L72" t="s">
        <v>127</v>
      </c>
    </row>
    <row r="73" spans="1:12" x14ac:dyDescent="0.2">
      <c r="A73">
        <v>336</v>
      </c>
      <c r="B73">
        <v>256</v>
      </c>
      <c r="C73">
        <f t="shared" si="1"/>
        <v>2.2832618178866807E-4</v>
      </c>
      <c r="D73">
        <f>SUM($C$2:C73)</f>
        <v>0.99843025750020287</v>
      </c>
      <c r="E73">
        <v>10</v>
      </c>
      <c r="F73">
        <v>1</v>
      </c>
      <c r="G73">
        <v>1.49609375</v>
      </c>
      <c r="H73">
        <v>33</v>
      </c>
      <c r="I73" t="s">
        <v>15</v>
      </c>
      <c r="J73">
        <v>336</v>
      </c>
      <c r="K73" t="s">
        <v>93</v>
      </c>
      <c r="L73" t="s">
        <v>127</v>
      </c>
    </row>
    <row r="74" spans="1:12" x14ac:dyDescent="0.2">
      <c r="A74">
        <v>315</v>
      </c>
      <c r="B74">
        <v>241</v>
      </c>
      <c r="C74">
        <f t="shared" si="1"/>
        <v>2.1494769457448828E-4</v>
      </c>
      <c r="D74">
        <f>SUM($C$2:C74)</f>
        <v>0.9986452051947774</v>
      </c>
      <c r="E74">
        <v>8</v>
      </c>
      <c r="F74">
        <v>1</v>
      </c>
      <c r="G74">
        <v>1.186721991701245</v>
      </c>
      <c r="H74">
        <v>31</v>
      </c>
      <c r="I74" t="s">
        <v>15</v>
      </c>
      <c r="J74">
        <v>315</v>
      </c>
      <c r="K74" t="s">
        <v>94</v>
      </c>
      <c r="L74" t="s">
        <v>127</v>
      </c>
    </row>
    <row r="75" spans="1:12" x14ac:dyDescent="0.2">
      <c r="A75">
        <v>325</v>
      </c>
      <c r="B75">
        <v>240</v>
      </c>
      <c r="C75">
        <f t="shared" si="1"/>
        <v>2.140557954268763E-4</v>
      </c>
      <c r="D75">
        <f>SUM($C$2:C75)</f>
        <v>0.99885926099020428</v>
      </c>
      <c r="E75">
        <v>12</v>
      </c>
      <c r="F75">
        <v>1</v>
      </c>
      <c r="G75">
        <v>1.4916666666666669</v>
      </c>
      <c r="H75">
        <v>32</v>
      </c>
      <c r="I75" t="s">
        <v>15</v>
      </c>
      <c r="J75">
        <v>325</v>
      </c>
      <c r="K75" t="s">
        <v>95</v>
      </c>
      <c r="L75" t="s">
        <v>127</v>
      </c>
    </row>
    <row r="76" spans="1:12" x14ac:dyDescent="0.2">
      <c r="A76">
        <v>515</v>
      </c>
      <c r="B76">
        <v>202</v>
      </c>
      <c r="C76">
        <f t="shared" si="1"/>
        <v>1.8016362781762089E-4</v>
      </c>
      <c r="D76">
        <f>SUM($C$2:C76)</f>
        <v>0.99903942461802187</v>
      </c>
      <c r="E76">
        <v>20</v>
      </c>
      <c r="F76">
        <v>1</v>
      </c>
      <c r="G76">
        <v>1.5148514851485151</v>
      </c>
      <c r="H76">
        <v>51</v>
      </c>
      <c r="I76" t="s">
        <v>17</v>
      </c>
      <c r="J76">
        <v>515</v>
      </c>
      <c r="K76" t="s">
        <v>96</v>
      </c>
      <c r="L76" t="s">
        <v>127</v>
      </c>
    </row>
    <row r="77" spans="1:12" x14ac:dyDescent="0.2">
      <c r="A77">
        <v>114</v>
      </c>
      <c r="B77">
        <v>198</v>
      </c>
      <c r="C77">
        <f t="shared" si="1"/>
        <v>1.7659603122717295E-4</v>
      </c>
      <c r="D77">
        <f>SUM($C$2:C77)</f>
        <v>0.99921602064924908</v>
      </c>
      <c r="E77">
        <v>19</v>
      </c>
      <c r="F77">
        <v>1</v>
      </c>
      <c r="G77">
        <v>1.964646464646465</v>
      </c>
      <c r="H77">
        <v>11</v>
      </c>
      <c r="I77" t="s">
        <v>20</v>
      </c>
      <c r="J77">
        <v>114</v>
      </c>
      <c r="K77" t="s">
        <v>97</v>
      </c>
      <c r="L77" t="s">
        <v>127</v>
      </c>
    </row>
    <row r="78" spans="1:12" x14ac:dyDescent="0.2">
      <c r="A78">
        <v>481</v>
      </c>
      <c r="B78">
        <v>185</v>
      </c>
      <c r="C78">
        <f t="shared" si="1"/>
        <v>1.6500134230821716E-4</v>
      </c>
      <c r="D78">
        <f>SUM($C$2:C78)</f>
        <v>0.99938102199155732</v>
      </c>
      <c r="E78">
        <v>8</v>
      </c>
      <c r="F78">
        <v>1</v>
      </c>
      <c r="G78">
        <v>1.5297297297297301</v>
      </c>
      <c r="H78">
        <v>48</v>
      </c>
      <c r="I78" t="s">
        <v>13</v>
      </c>
      <c r="J78">
        <v>481</v>
      </c>
      <c r="K78" t="s">
        <v>98</v>
      </c>
      <c r="L78" t="s">
        <v>130</v>
      </c>
    </row>
    <row r="79" spans="1:12" x14ac:dyDescent="0.2">
      <c r="A79">
        <v>321</v>
      </c>
      <c r="B79">
        <v>106</v>
      </c>
      <c r="C79">
        <f t="shared" si="1"/>
        <v>9.4541309646870375E-5</v>
      </c>
      <c r="D79">
        <f>SUM($C$2:C79)</f>
        <v>0.99947556330120424</v>
      </c>
      <c r="E79">
        <v>8</v>
      </c>
      <c r="F79">
        <v>1</v>
      </c>
      <c r="G79">
        <v>1.3301886792452831</v>
      </c>
      <c r="H79">
        <v>32</v>
      </c>
      <c r="I79" t="s">
        <v>15</v>
      </c>
      <c r="J79">
        <v>321</v>
      </c>
      <c r="K79" t="s">
        <v>99</v>
      </c>
      <c r="L79" t="s">
        <v>127</v>
      </c>
    </row>
    <row r="80" spans="1:12" x14ac:dyDescent="0.2">
      <c r="A80">
        <v>337</v>
      </c>
      <c r="B80">
        <v>98</v>
      </c>
      <c r="C80">
        <f t="shared" si="1"/>
        <v>8.7406116465974488E-5</v>
      </c>
      <c r="D80">
        <f>SUM($C$2:C80)</f>
        <v>0.9995629694176702</v>
      </c>
      <c r="E80">
        <v>5</v>
      </c>
      <c r="F80">
        <v>1</v>
      </c>
      <c r="G80">
        <v>1.1734693877551019</v>
      </c>
      <c r="H80">
        <v>33</v>
      </c>
      <c r="I80" t="s">
        <v>15</v>
      </c>
      <c r="J80">
        <v>337</v>
      </c>
      <c r="K80" t="s">
        <v>100</v>
      </c>
      <c r="L80" t="s">
        <v>127</v>
      </c>
    </row>
    <row r="81" spans="1:12" x14ac:dyDescent="0.2">
      <c r="A81">
        <v>523</v>
      </c>
      <c r="B81">
        <v>71</v>
      </c>
      <c r="C81">
        <f t="shared" si="1"/>
        <v>6.3324839480450912E-5</v>
      </c>
      <c r="D81">
        <f>SUM($C$2:C81)</f>
        <v>0.99962629425715066</v>
      </c>
      <c r="E81">
        <v>7</v>
      </c>
      <c r="F81">
        <v>1</v>
      </c>
      <c r="G81">
        <v>1.28169014084507</v>
      </c>
      <c r="H81">
        <v>52</v>
      </c>
      <c r="I81" t="s">
        <v>16</v>
      </c>
      <c r="J81">
        <v>523</v>
      </c>
      <c r="K81" t="s">
        <v>101</v>
      </c>
      <c r="L81" t="s">
        <v>131</v>
      </c>
    </row>
    <row r="82" spans="1:12" x14ac:dyDescent="0.2">
      <c r="A82">
        <v>212</v>
      </c>
      <c r="B82">
        <v>69</v>
      </c>
      <c r="C82">
        <f t="shared" si="1"/>
        <v>6.154104118522694E-5</v>
      </c>
      <c r="D82">
        <f>SUM($C$2:C82)</f>
        <v>0.99968783529833594</v>
      </c>
      <c r="E82">
        <v>10</v>
      </c>
      <c r="F82">
        <v>1</v>
      </c>
      <c r="G82">
        <v>1.666666666666667</v>
      </c>
      <c r="H82">
        <v>21</v>
      </c>
      <c r="I82" t="s">
        <v>24</v>
      </c>
      <c r="J82">
        <v>212</v>
      </c>
      <c r="K82" t="s">
        <v>102</v>
      </c>
      <c r="L82" t="s">
        <v>127</v>
      </c>
    </row>
    <row r="83" spans="1:12" x14ac:dyDescent="0.2">
      <c r="A83">
        <v>331</v>
      </c>
      <c r="B83">
        <v>67</v>
      </c>
      <c r="C83">
        <f t="shared" si="1"/>
        <v>5.9757242890002969E-5</v>
      </c>
      <c r="D83">
        <f>SUM($C$2:C83)</f>
        <v>0.99974759254122592</v>
      </c>
      <c r="E83">
        <v>14</v>
      </c>
      <c r="F83">
        <v>1</v>
      </c>
      <c r="G83">
        <v>1.985074626865672</v>
      </c>
      <c r="H83">
        <v>33</v>
      </c>
      <c r="I83" t="s">
        <v>15</v>
      </c>
      <c r="J83">
        <v>331</v>
      </c>
      <c r="K83" t="s">
        <v>103</v>
      </c>
      <c r="L83" t="s">
        <v>127</v>
      </c>
    </row>
    <row r="84" spans="1:12" x14ac:dyDescent="0.2">
      <c r="A84">
        <v>334</v>
      </c>
      <c r="B84">
        <v>49</v>
      </c>
      <c r="C84">
        <f t="shared" si="1"/>
        <v>4.3703058232987244E-5</v>
      </c>
      <c r="D84">
        <f>SUM($C$2:C84)</f>
        <v>0.9997912955994589</v>
      </c>
      <c r="E84">
        <v>9</v>
      </c>
      <c r="F84">
        <v>1</v>
      </c>
      <c r="G84">
        <v>1.714285714285714</v>
      </c>
      <c r="H84">
        <v>33</v>
      </c>
      <c r="I84" t="s">
        <v>15</v>
      </c>
      <c r="J84">
        <v>334</v>
      </c>
      <c r="K84" t="s">
        <v>104</v>
      </c>
      <c r="L84" t="s">
        <v>127</v>
      </c>
    </row>
    <row r="85" spans="1:12" x14ac:dyDescent="0.2">
      <c r="A85">
        <v>924</v>
      </c>
      <c r="B85">
        <v>37</v>
      </c>
      <c r="C85">
        <f t="shared" si="1"/>
        <v>3.3000268461643428E-5</v>
      </c>
      <c r="D85">
        <f>SUM($C$2:C85)</f>
        <v>0.99982429586792054</v>
      </c>
      <c r="E85">
        <v>5</v>
      </c>
      <c r="F85">
        <v>1</v>
      </c>
      <c r="G85">
        <v>1.459459459459459</v>
      </c>
      <c r="H85">
        <v>92</v>
      </c>
      <c r="I85" t="s">
        <v>22</v>
      </c>
      <c r="J85">
        <v>924</v>
      </c>
      <c r="K85" t="s">
        <v>105</v>
      </c>
      <c r="L85" t="s">
        <v>133</v>
      </c>
    </row>
    <row r="86" spans="1:12" x14ac:dyDescent="0.2">
      <c r="A86">
        <v>314</v>
      </c>
      <c r="B86">
        <v>35</v>
      </c>
      <c r="C86">
        <f t="shared" si="1"/>
        <v>3.1216470166419463E-5</v>
      </c>
      <c r="D86">
        <f>SUM($C$2:C86)</f>
        <v>0.999855512338087</v>
      </c>
      <c r="E86">
        <v>4</v>
      </c>
      <c r="F86">
        <v>1</v>
      </c>
      <c r="G86">
        <v>1.2285714285714291</v>
      </c>
      <c r="H86">
        <v>31</v>
      </c>
      <c r="I86" t="s">
        <v>15</v>
      </c>
      <c r="J86">
        <v>314</v>
      </c>
      <c r="K86" t="s">
        <v>106</v>
      </c>
      <c r="L86" t="s">
        <v>127</v>
      </c>
    </row>
    <row r="87" spans="1:12" x14ac:dyDescent="0.2">
      <c r="A87">
        <v>211</v>
      </c>
      <c r="B87">
        <v>29</v>
      </c>
      <c r="C87">
        <f t="shared" si="1"/>
        <v>2.5865075280747555E-5</v>
      </c>
      <c r="D87">
        <f>SUM($C$2:C87)</f>
        <v>0.9998813774133678</v>
      </c>
      <c r="E87">
        <v>2</v>
      </c>
      <c r="F87">
        <v>1</v>
      </c>
      <c r="G87">
        <v>1.0344827586206899</v>
      </c>
      <c r="H87">
        <v>21</v>
      </c>
      <c r="I87" t="s">
        <v>24</v>
      </c>
      <c r="J87">
        <v>211</v>
      </c>
      <c r="K87" t="s">
        <v>107</v>
      </c>
      <c r="L87" t="s">
        <v>127</v>
      </c>
    </row>
    <row r="88" spans="1:12" x14ac:dyDescent="0.2">
      <c r="A88">
        <v>324</v>
      </c>
      <c r="B88">
        <v>29</v>
      </c>
      <c r="C88">
        <f t="shared" si="1"/>
        <v>2.5865075280747555E-5</v>
      </c>
      <c r="D88">
        <f>SUM($C$2:C88)</f>
        <v>0.9999072424886486</v>
      </c>
      <c r="E88">
        <v>2</v>
      </c>
      <c r="F88">
        <v>1</v>
      </c>
      <c r="G88">
        <v>1.1379310344827589</v>
      </c>
      <c r="H88">
        <v>32</v>
      </c>
      <c r="I88" t="s">
        <v>15</v>
      </c>
      <c r="J88">
        <v>324</v>
      </c>
      <c r="K88" t="s">
        <v>108</v>
      </c>
      <c r="L88" t="s">
        <v>127</v>
      </c>
    </row>
    <row r="89" spans="1:12" x14ac:dyDescent="0.2">
      <c r="A89">
        <v>335</v>
      </c>
      <c r="B89">
        <v>27</v>
      </c>
      <c r="C89">
        <f t="shared" si="1"/>
        <v>2.4081276985523583E-5</v>
      </c>
      <c r="D89">
        <f>SUM($C$2:C89)</f>
        <v>0.99993132376563409</v>
      </c>
      <c r="E89">
        <v>11</v>
      </c>
      <c r="F89">
        <v>1</v>
      </c>
      <c r="G89">
        <v>1.62962962962963</v>
      </c>
      <c r="H89">
        <v>33</v>
      </c>
      <c r="I89" t="s">
        <v>15</v>
      </c>
      <c r="J89">
        <v>335</v>
      </c>
      <c r="K89" t="s">
        <v>109</v>
      </c>
      <c r="L89" t="s">
        <v>127</v>
      </c>
    </row>
    <row r="90" spans="1:12" x14ac:dyDescent="0.2">
      <c r="A90">
        <v>518</v>
      </c>
      <c r="B90">
        <v>22</v>
      </c>
      <c r="C90">
        <f t="shared" si="1"/>
        <v>1.9621781247463661E-5</v>
      </c>
      <c r="D90">
        <f>SUM($C$2:C90)</f>
        <v>0.99995094554688158</v>
      </c>
      <c r="E90">
        <v>23</v>
      </c>
      <c r="F90">
        <v>1</v>
      </c>
      <c r="G90">
        <v>2.1818181818181821</v>
      </c>
      <c r="H90">
        <v>51</v>
      </c>
      <c r="I90" t="s">
        <v>17</v>
      </c>
      <c r="J90">
        <v>518</v>
      </c>
      <c r="K90" t="s">
        <v>110</v>
      </c>
      <c r="L90" t="s">
        <v>127</v>
      </c>
    </row>
    <row r="91" spans="1:12" x14ac:dyDescent="0.2">
      <c r="A91">
        <v>925</v>
      </c>
      <c r="B91">
        <v>19</v>
      </c>
      <c r="C91">
        <f t="shared" si="1"/>
        <v>1.6946083804627707E-5</v>
      </c>
      <c r="D91">
        <f>SUM($C$2:C91)</f>
        <v>0.99996789163068622</v>
      </c>
      <c r="E91">
        <v>18</v>
      </c>
      <c r="F91">
        <v>1</v>
      </c>
      <c r="G91">
        <v>2.263157894736842</v>
      </c>
      <c r="H91">
        <v>92</v>
      </c>
      <c r="I91" t="s">
        <v>22</v>
      </c>
      <c r="J91">
        <v>925</v>
      </c>
      <c r="K91" t="s">
        <v>111</v>
      </c>
      <c r="L91" t="s">
        <v>133</v>
      </c>
    </row>
    <row r="92" spans="1:12" x14ac:dyDescent="0.2">
      <c r="A92">
        <v>313</v>
      </c>
      <c r="B92">
        <v>15</v>
      </c>
      <c r="C92">
        <f t="shared" si="1"/>
        <v>1.3378487214179769E-5</v>
      </c>
      <c r="D92">
        <f>SUM($C$2:C92)</f>
        <v>0.99998127011790039</v>
      </c>
      <c r="E92">
        <v>7</v>
      </c>
      <c r="F92">
        <v>1</v>
      </c>
      <c r="G92">
        <v>2.0666666666666669</v>
      </c>
      <c r="H92">
        <v>31</v>
      </c>
      <c r="I92" t="s">
        <v>15</v>
      </c>
      <c r="J92">
        <v>313</v>
      </c>
      <c r="K92" t="s">
        <v>112</v>
      </c>
      <c r="L92" t="s">
        <v>127</v>
      </c>
    </row>
    <row r="93" spans="1:12" x14ac:dyDescent="0.2">
      <c r="A93">
        <v>425</v>
      </c>
      <c r="B93">
        <v>13</v>
      </c>
      <c r="C93">
        <f t="shared" si="1"/>
        <v>1.15946889189558E-5</v>
      </c>
      <c r="D93">
        <f>SUM($C$2:C93)</f>
        <v>0.99999286480681937</v>
      </c>
      <c r="E93">
        <v>10</v>
      </c>
      <c r="F93">
        <v>1</v>
      </c>
      <c r="G93">
        <v>2.0769230769230771</v>
      </c>
      <c r="H93">
        <v>42</v>
      </c>
      <c r="I93" t="s">
        <v>18</v>
      </c>
      <c r="J93">
        <v>425</v>
      </c>
      <c r="K93" t="s">
        <v>113</v>
      </c>
      <c r="L93" t="s">
        <v>7</v>
      </c>
    </row>
    <row r="94" spans="1:12" x14ac:dyDescent="0.2">
      <c r="A94">
        <v>521</v>
      </c>
      <c r="B94">
        <v>3</v>
      </c>
      <c r="C94">
        <f t="shared" si="1"/>
        <v>2.6756974428359541E-6</v>
      </c>
      <c r="D94">
        <f>SUM($C$2:C94)</f>
        <v>0.9999955405042622</v>
      </c>
      <c r="E94">
        <v>1</v>
      </c>
      <c r="F94">
        <v>1</v>
      </c>
      <c r="G94">
        <v>1</v>
      </c>
      <c r="H94">
        <v>52</v>
      </c>
      <c r="I94" t="s">
        <v>16</v>
      </c>
      <c r="J94">
        <v>521</v>
      </c>
      <c r="K94" t="s">
        <v>114</v>
      </c>
      <c r="L94" t="s">
        <v>131</v>
      </c>
    </row>
    <row r="95" spans="1:12" x14ac:dyDescent="0.2">
      <c r="A95">
        <v>316</v>
      </c>
      <c r="B95">
        <v>3</v>
      </c>
      <c r="C95">
        <f t="shared" si="1"/>
        <v>2.6756974428359541E-6</v>
      </c>
      <c r="D95">
        <f>SUM($C$2:C95)</f>
        <v>0.99999821620170504</v>
      </c>
      <c r="E95">
        <v>1</v>
      </c>
      <c r="F95">
        <v>1</v>
      </c>
      <c r="G95">
        <v>1</v>
      </c>
      <c r="H95">
        <v>31</v>
      </c>
      <c r="I95" t="s">
        <v>15</v>
      </c>
      <c r="J95">
        <v>316</v>
      </c>
      <c r="K95" t="s">
        <v>115</v>
      </c>
      <c r="L95" t="s">
        <v>127</v>
      </c>
    </row>
    <row r="96" spans="1:12" x14ac:dyDescent="0.2">
      <c r="A96">
        <v>213</v>
      </c>
      <c r="B96">
        <v>2</v>
      </c>
      <c r="C96">
        <f t="shared" si="1"/>
        <v>1.7837982952239693E-6</v>
      </c>
      <c r="D96">
        <f>SUM($C$2:C96)</f>
        <v>1.0000000000000002</v>
      </c>
      <c r="E96">
        <v>1</v>
      </c>
      <c r="F96">
        <v>1</v>
      </c>
      <c r="G96">
        <v>1</v>
      </c>
      <c r="H96">
        <v>21</v>
      </c>
      <c r="I96" t="s">
        <v>24</v>
      </c>
      <c r="J96">
        <v>213</v>
      </c>
      <c r="K96" t="s">
        <v>116</v>
      </c>
      <c r="L96" t="s">
        <v>127</v>
      </c>
    </row>
    <row r="97" spans="2:2" x14ac:dyDescent="0.2">
      <c r="B97">
        <f>SUM(B2:B96)</f>
        <v>1121203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Li, Lingyao</cp:lastModifiedBy>
  <dcterms:created xsi:type="dcterms:W3CDTF">2024-04-19T16:54:33Z</dcterms:created>
  <dcterms:modified xsi:type="dcterms:W3CDTF">2024-06-13T20:39:28Z</dcterms:modified>
</cp:coreProperties>
</file>